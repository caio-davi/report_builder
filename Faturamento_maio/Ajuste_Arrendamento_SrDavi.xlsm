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uropeanenergy1.sharepoint.com/sites/OBQV-AM/Shared Documents/General/08 - Proprietários/Payment Requests/"/>
    </mc:Choice>
  </mc:AlternateContent>
  <xr:revisionPtr revIDLastSave="5" documentId="8_{7BFB0C3B-8BAD-443D-8020-27D5CBE7A219}" xr6:coauthVersionLast="47" xr6:coauthVersionMax="47" xr10:uidLastSave="{FB85D760-3D4C-43AF-83D2-A03F34EBCA61}"/>
  <bookViews>
    <workbookView xWindow="-120" yWindow="-120" windowWidth="38640" windowHeight="21240" xr2:uid="{BCA36B07-4570-4AF3-B3B7-3DA625FA1D9C}"/>
  </bookViews>
  <sheets>
    <sheet name="Cálculo de Ajuste" sheetId="1" r:id="rId1"/>
    <sheet name="Faturamento OB1" sheetId="2" r:id="rId2"/>
    <sheet name="Faturamento OB2" sheetId="3" r:id="rId3"/>
  </sheets>
  <definedNames>
    <definedName name="_xlnm._FilterDatabase" localSheetId="1" hidden="1">'Faturamento OB1'!$A$2:$J$56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2" l="1"/>
  <c r="J59" i="2" s="1"/>
  <c r="J58" i="2"/>
  <c r="K59" i="2" l="1"/>
  <c r="J34" i="3"/>
  <c r="F7" i="1" s="1"/>
  <c r="F21" i="1" s="1"/>
  <c r="H21" i="1" s="1" a="1"/>
  <c r="H21" i="1" s="1"/>
  <c r="I21" i="1" s="1"/>
  <c r="J4" i="3"/>
  <c r="D22" i="1"/>
  <c r="H31" i="3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D14" i="1"/>
  <c r="F13" i="1"/>
  <c r="G13" i="1" s="1" a="1"/>
  <c r="G13" i="1" s="1"/>
  <c r="E3" i="1"/>
  <c r="J33" i="3" l="1"/>
  <c r="K34" i="3" s="1"/>
  <c r="F6" i="1"/>
  <c r="F20" i="1" s="1"/>
  <c r="H20" i="1" s="1" a="1"/>
  <c r="H20" i="1" s="1"/>
  <c r="I20" i="1" s="1"/>
  <c r="I22" i="1" s="1"/>
  <c r="G7" i="1"/>
  <c r="G21" i="1"/>
  <c r="J21" i="1"/>
  <c r="K21" i="1" s="1"/>
  <c r="H13" i="1"/>
  <c r="F12" i="1"/>
  <c r="G6" i="1" l="1"/>
  <c r="G20" i="1"/>
  <c r="G22" i="1" s="1"/>
  <c r="F22" i="1"/>
  <c r="J20" i="1"/>
  <c r="F14" i="1"/>
  <c r="G12" i="1" a="1"/>
  <c r="G12" i="1" s="1"/>
  <c r="H12" i="1" s="1"/>
  <c r="I13" i="1"/>
  <c r="J13" i="1" s="1"/>
  <c r="L21" i="1" s="1"/>
  <c r="J22" i="1" l="1"/>
  <c r="K20" i="1"/>
  <c r="H14" i="1"/>
  <c r="I12" i="1"/>
  <c r="K22" i="1" l="1"/>
  <c r="I14" i="1"/>
  <c r="J12" i="1"/>
  <c r="J14" i="1" s="1"/>
  <c r="L20" i="1" l="1"/>
  <c r="L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<sst xmlns="http://schemas.openxmlformats.org/spreadsheetml/2006/main" count="633" uniqueCount="275">
  <si>
    <t>Base Cálculo</t>
  </si>
  <si>
    <t>Nota Fiscal</t>
  </si>
  <si>
    <t>Mês de Referência</t>
  </si>
  <si>
    <t>SPE</t>
  </si>
  <si>
    <t># Turbinas</t>
  </si>
  <si>
    <t>Renda Mensal</t>
  </si>
  <si>
    <t>Renda Actualizada</t>
  </si>
  <si>
    <t>Ajuste</t>
  </si>
  <si>
    <t>OB1</t>
  </si>
  <si>
    <t>OB2</t>
  </si>
  <si>
    <t>Planilha com o Valor da Nota Fiscal Transferida em Junho</t>
  </si>
  <si>
    <t>Percentual de Renda</t>
  </si>
  <si>
    <t>Ao proprietário</t>
  </si>
  <si>
    <t>Alíquota</t>
  </si>
  <si>
    <t>Dedução</t>
  </si>
  <si>
    <t>IR</t>
  </si>
  <si>
    <t>Líquido</t>
  </si>
  <si>
    <t>Total</t>
  </si>
  <si>
    <t>Planilha Ajustada com o Valor Actualizado</t>
  </si>
  <si>
    <t>Ajuste Bruto</t>
  </si>
  <si>
    <r>
      <t xml:space="preserve">Ajuste Líquido </t>
    </r>
    <r>
      <rPr>
        <sz val="11"/>
        <color rgb="FFFF0000"/>
        <rFont val="Calibri"/>
        <family val="2"/>
        <scheme val="minor"/>
      </rPr>
      <t>(*)</t>
    </r>
  </si>
  <si>
    <t xml:space="preserve">(*) - Valor que será abatido na Nota Fiscal de Julho de 2023. </t>
  </si>
  <si>
    <t>Tabela Progressiva IR Mensal</t>
  </si>
  <si>
    <t>Base de Cálculo (RS)</t>
  </si>
  <si>
    <t>Patamares</t>
  </si>
  <si>
    <t>Alíquota (%)</t>
  </si>
  <si>
    <t>Parcela a Deduzir do IR</t>
  </si>
  <si>
    <t>Até 2.112,00</t>
  </si>
  <si>
    <t>De 2.112,01 até 2.826,65</t>
  </si>
  <si>
    <t>De 2.826,66 até 3.751,05</t>
  </si>
  <si>
    <t>De 3.751,06 até 4.664,68</t>
  </si>
  <si>
    <t>Acima de 4.664,68</t>
  </si>
  <si>
    <t>&gt; 4,446.68 BRL</t>
  </si>
  <si>
    <t>Valor Mínimo para recolha de IR</t>
  </si>
  <si>
    <t>Faturamento por Período</t>
  </si>
  <si>
    <t>Data de Emissão (completa)</t>
  </si>
  <si>
    <t>Cliente (Razão Social)</t>
  </si>
  <si>
    <t>CNPJ/CPF</t>
  </si>
  <si>
    <t>Dados Adicionais para a Nota Fiscal</t>
  </si>
  <si>
    <t>Descrição do Produto</t>
  </si>
  <si>
    <t>Unidade</t>
  </si>
  <si>
    <t>Quantidade</t>
  </si>
  <si>
    <t>Valor Unitário</t>
  </si>
  <si>
    <t>Total da Nota Fiscal</t>
  </si>
  <si>
    <t>04/05/2023</t>
  </si>
  <si>
    <t>00000135</t>
  </si>
  <si>
    <t>AMPLA ENERGIA E SERVIÇOS S.A.</t>
  </si>
  <si>
    <t>33.050.071/0001-58</t>
  </si>
  <si>
    <t>Competência: Mar/2023 CCEAR Nº 30876/17    Não incidencia ICMS conforme art. 8º, inc. III do RICMS/PE -  Lei nº 15.730/2016 e Decreto nº 44.650/2017   Dados bancários CNPJ (matriz): 21.185.583/0001-42 Banco Bradesco (237) / AG: 2372 / CC: 37030-4</t>
  </si>
  <si>
    <t>ENERGIA ELETRICA</t>
  </si>
  <si>
    <t>MWh</t>
  </si>
  <si>
    <t>00000136</t>
  </si>
  <si>
    <t>EDP SÃO PAULO DISTRIBUIÇÃO DE ENERGIA S.A.</t>
  </si>
  <si>
    <t>02.302.100/0001-06</t>
  </si>
  <si>
    <t>Competência: Mar/2023 CCEAR Nº 30877/17     Não incidencia ICMS conforme art. 8º, inc. III do RICMS/PE -  Lei nº 15.730/2016 e Decreto nº 44.650/2017   Dados bancários CNPJ (matriz): 21.185.583/0001-42 Banco Bradesco (237) / AG: 2372 / CC: 37030-4</t>
  </si>
  <si>
    <t>00000137</t>
  </si>
  <si>
    <t>COMPANHIA DE ELETRICIDADE DO AMAPA CEA</t>
  </si>
  <si>
    <t>05.965.546/0001-09</t>
  </si>
  <si>
    <t>Competência: Mar/2023 CCEAR Nº 30878/17    Não incidencia ICMS conforme art. 8º, inc. III do RICMS/PE -  Lei nº 15.730/2016 e Decreto nº 44.650/2017   Dados bancários CNPJ (matriz): 21.185.583/0001-42 Banco Bradesco (237) / AG: 2372 / CC: 37030-4</t>
  </si>
  <si>
    <t>00000138</t>
  </si>
  <si>
    <t>COMPANHIA ENERGÉTICA DE ALAGOAS - CEAL</t>
  </si>
  <si>
    <t>12.272.084/0001-00</t>
  </si>
  <si>
    <t>Competência: Mar/2023 CCEAR Nº 30879/17    Não incidencia ICMS conforme art. 8º, inc. III do RICMS/PE -  Lei nº 15.730/2016 e Decreto nº 44.650/2017   Dados bancários CNPJ (matriz): 21.185.583/0001-42 Banco Bradesco (237) / AG: 2372 / CC: 37030-4</t>
  </si>
  <si>
    <t>00000139</t>
  </si>
  <si>
    <t>COMPANHIA ESTADUAL DE DISTRIBUIÇÃO DE ENERGIA ELÉTRICA</t>
  </si>
  <si>
    <t>08.467.115/0001-00</t>
  </si>
  <si>
    <t>Competência: Mar/2023 CCEAR Nº 30880/17    Não incidencia ICMS conforme art. 8º, inc. III do RICMS/PE -  Lei nº 15.730/2016 e Decreto nº 44.650/2017   Dados bancários CNPJ (matriz): 21.185.583/0001-42 Banco Bradesco (237) / AG: 2372 / CC: 37030-4</t>
  </si>
  <si>
    <t>00000140</t>
  </si>
  <si>
    <t>CELG DISTRIBUIÇÃO S.A.</t>
  </si>
  <si>
    <t>01.543.032/0001-04</t>
  </si>
  <si>
    <t>Competência: Mar/2023 CCEAR Nº 30881/17    Não incidencia ICMS conforme art. 8º, inc. III do RICMS/PE -  Lei nº 15.730/2016 e Decreto nº 44.650/2017   Dados bancários CNPJ (matriz): 21.185.583/0001-42 Banco Bradesco (237) / AG: 2372 / CC: 37030-4</t>
  </si>
  <si>
    <t>00000141</t>
  </si>
  <si>
    <t>EQUATORIAL PARA DISTRIBUIDORA DE ENERGIA S.A.</t>
  </si>
  <si>
    <t>04.895.728/0001-80</t>
  </si>
  <si>
    <t>Competência: Mar/2023 CCEAR Nº 30882/17    Não incidencia ICMS conforme art. 8º, inc. III do RICMS/PE -  Lei nº 15.730/2016 e Decreto nº 44.650/2017   Dados bancários CNPJ (matriz): 21.185.583/0001-42 Banco Bradesco (237) / AG: 2372 / CC: 37030-4</t>
  </si>
  <si>
    <t>00000142</t>
  </si>
  <si>
    <t>COMPANHIA ENERGÉTICA DE PERNAMBUCO</t>
  </si>
  <si>
    <t>10.835.932/0001-08</t>
  </si>
  <si>
    <t>Competência: Mar/2023 CCEAR Nº 30883/17    Não incidencia ICMS conforme art. 8º, inc. III do RICMS/PE -  Lei nº 15.730/2016 e Decreto nº 44.650/2017   Dados bancários CNPJ (matriz): 21.185.583/0001-42 Banco Bradesco (237) / AG: 2372 / CC: 37030-4</t>
  </si>
  <si>
    <t>00000143</t>
  </si>
  <si>
    <t>COMPANHIA ENERGÉTICA DO MARANHÃO</t>
  </si>
  <si>
    <t>06.272.793/0001-84</t>
  </si>
  <si>
    <t>Competência: Mar/2023 CCEAR Nº 30884/17    Não incidencia ICMS conforme art. 8º, inc. III do RICMS/PE -  Lei nº 15.730/2016 e Decreto nº 44.650/2017   Dados bancários CNPJ (matriz): 21.185.583/0001-42 Banco Bradesco (237) / AG: 2372 / CC: 37030-4</t>
  </si>
  <si>
    <t>00000144</t>
  </si>
  <si>
    <t>CEMIG DISTRIBUIÇÃO S.A.</t>
  </si>
  <si>
    <t>06.981.180/0001-16</t>
  </si>
  <si>
    <t>Competência: Mar/2023 CCEAR Nº 30885/17    Não incidencia ICMS conforme art. 8º, inc. III do RICMS/PE -  Lei nº 15.730/2016 e Decreto nº 44.650/2017   Dados bancários CNPJ (matriz): 21.185.583/0001-42 Banco Bradesco (237) / AG: 2372 / CC: 37030-4</t>
  </si>
  <si>
    <t>00000145</t>
  </si>
  <si>
    <t>COMPANHIA ENERGÉTICA DO PIAUÍ</t>
  </si>
  <si>
    <t>06.840.748/0001-89</t>
  </si>
  <si>
    <t>Competência: Mar/2023 CCEAR Nº 30886/17    Não incidencia ICMS conforme art. 8º, inc. III do RICMS/PE -  Lei nº 15.730/2016 e Decreto nº 44.650/2017   Dados bancários CNPJ (matriz): 21.185.583/0001-42 Banco Bradesco (237) / AG: 2372 / CC: 37030-4</t>
  </si>
  <si>
    <t>00000146</t>
  </si>
  <si>
    <t>COMPANHIA DE ELETRICIDADE DO ESTADO DA BAHIA COELBA</t>
  </si>
  <si>
    <t>15.139.629/0001-94</t>
  </si>
  <si>
    <t>Competência: Mar/2023 CCEAR Nº 30888/17    Não incidencia ICMS conforme art. 8º, inc. III do RICMS/PE -  Lei nº 15.730/2016 e Decreto nº 44.650/2017   Dados bancários CNPJ (matriz): 21.185.583/0001-42 Banco Bradesco (237) / AG: 2372 / CC: 37030-4</t>
  </si>
  <si>
    <t>00000147</t>
  </si>
  <si>
    <t>COMPANHIA ENERGÉTICA DO CEARÁ</t>
  </si>
  <si>
    <t>07.047.251/0001-70</t>
  </si>
  <si>
    <t>Competência: Mar/2023 CCEAR Nº 30889/17    Não incidencia ICMS conforme art. 8º, inc. III do RICMS/PE -  Lei nº 15.730/2016 e Decreto nº 44.650/2017   Dados bancários CNPJ (matriz): 21.185.583/0001-42 Banco Bradesco (237) / AG: 2372 / CC: 37030-4</t>
  </si>
  <si>
    <t>00000148</t>
  </si>
  <si>
    <t>COPEL DISTRIBUIÇÃO S.A.</t>
  </si>
  <si>
    <t>04.368.898/0001-06</t>
  </si>
  <si>
    <t>Competência: Mar/2023 CCEAR Nº 30890/17    Não incidencia ICMS conforme art. 8º, inc. III do RICMS/PE -  Lei nº 15.730/2016 e Decreto nº 44.650/2017   Dados bancários CNPJ (matriz): 21.185.583/0001-42 Banco Bradesco (237) / AG: 2372 / CC: 37030-4</t>
  </si>
  <si>
    <t>00000149</t>
  </si>
  <si>
    <t>COMPANHIA ENERGÉTICA DO RIO GRANDE DO NORTE</t>
  </si>
  <si>
    <t>08.324.196/0001-81</t>
  </si>
  <si>
    <t>Competência: Mar/2023 CCEAR Nº 30891/17    Não incidencia ICMS conforme art. 8º, inc. III do RICMS/PE -  Lei nº 15.730/2016 e Decreto nº 44.650/2017   Dados bancários CNPJ (matriz): 21.185.583/0001-42 Banco Bradesco (237) / AG: 2372 / CC: 37030-4</t>
  </si>
  <si>
    <t>00000150</t>
  </si>
  <si>
    <t>ELEKTRO REDES S.A.</t>
  </si>
  <si>
    <t>02.328.280/0001-97</t>
  </si>
  <si>
    <t>Competência: Mar/2023 CCEAR Nº 30892/17    Não incidencia ICMS conforme art. 8º, inc. III do RICMS/PE -  Lei nº 15.730/2016 e Decreto nº 44.650/2017   Dados bancários CNPJ (matriz): 21.185.583/0001-42 Banco Bradesco (237) / AG: 2372 / CC: 37030-4</t>
  </si>
  <si>
    <t>00000151</t>
  </si>
  <si>
    <t>ENERGISA MINAS RIO - DISTRIBUIDORA DE ENERGIA S.A.</t>
  </si>
  <si>
    <t>19.527.639/0001-58</t>
  </si>
  <si>
    <t>Competência: Mar/202 CCEAR Nº 30893/17    Não incidencia ICMS conforme art. 8º, inc. III do RICMS/PE -  Lei nº 15.730/2016 e Decreto nº 44.650/2017   Dados bancários CNPJ (matriz): 21.185.583/0001-42 Banco Bradesco (237) / AG: 2372 / CC: 37030-4</t>
  </si>
  <si>
    <t>00000152</t>
  </si>
  <si>
    <t>ENERGISA MATO GROSSO DO SUL-DISTRIBUIDORA DE ENERGIA S.A.</t>
  </si>
  <si>
    <t>15.413.826/0001-50</t>
  </si>
  <si>
    <t>Competência: Mar/202 CCEAR Nº 30894/17    Não incidencia ICMS conforme art. 8º, inc. III do RICMS/PE -  Lei nº 15.730/2016 e Decreto nº 44.650/2017   Dados bancários CNPJ (matriz): 21.185.583/0001-42 Banco Bradesco (237) / AG: 2372 / CC: 37030-4</t>
  </si>
  <si>
    <t>00000153</t>
  </si>
  <si>
    <t>ENERGISA MATO GROSSO - DISTRIBUIDORA DE ENERGIA S.A.</t>
  </si>
  <si>
    <t>03.467.321/0001-99</t>
  </si>
  <si>
    <t>Competência: Mar/2023 CCEAR Nº 30895/17    Não incidencia ICMS conforme art. 8º, inc. III do RICMS/PE -  Lei nº 15.730/2016 e Decreto nº 44.650/2017   Dados bancários CNPJ (matriz): 21.185.583/0001-42 Banco Bradesco (237) / AG: 2372 / CC: 37030-4</t>
  </si>
  <si>
    <t>00000154</t>
  </si>
  <si>
    <t>ENERGISA PARAÍBA - DISTRIBUIDORA DE ENERGIA S.A.</t>
  </si>
  <si>
    <t>09.095.183/0001-40</t>
  </si>
  <si>
    <t>Competência: Mar/2023 CCEAR Nº 30896/17    Não incidencia ICMS conforme art. 8º, inc. III do RICMS/PE -  Lei nº 15.730/2016 e Decreto nº 44.650/2017   Dados bancários CNPJ (matriz): 21.185.583/0001-42 Banco Bradesco (237) / AG: 2372 / CC: 37030-4</t>
  </si>
  <si>
    <t>00000155</t>
  </si>
  <si>
    <t>ENERGISA RONDONIA - DISTRIBUIDORA DE ENERGIA S.A.</t>
  </si>
  <si>
    <t>05.914.650/0001-66</t>
  </si>
  <si>
    <t>Competência: Mar/2023 CCEAR Nº 30887/17    Não incidencia ICMS conforme art. 8º, inc. III do RICMS/PE -  Lei nº 15.730/2016 e Decreto nº 44.650/2017   Dados bancários CNPJ (matriz): 21.185.583/0001-42 Banco Bradesco (237) / AG: 2372 / CC: 37030-4</t>
  </si>
  <si>
    <t>00000156</t>
  </si>
  <si>
    <t>ENERGISA SERGIPE - DISTRIBUIDORA DE ENERGIA S.A.</t>
  </si>
  <si>
    <t>13.017.462/0001-63</t>
  </si>
  <si>
    <t>Competência: Mar/2023 CCEAR Nº 30897/17    Não incidencia ICMS conforme art. 8º, inc. III do RICMS/PE -  Lei nº 15.730/2016 e Decreto nº 44.650/2017   Dados bancários CNPJ (matriz): 21.185.583/0001-42 Banco Bradesco (237) / AG: 2372 / CC: 37030-4</t>
  </si>
  <si>
    <t>00000157</t>
  </si>
  <si>
    <t>ENERGISA TOCANTINS DISTRIBUIDORA DE ENERGIA S.A.</t>
  </si>
  <si>
    <t>25.086.034/0001-71</t>
  </si>
  <si>
    <t>Competência: Mar/2023 CCEAR Nº 30898/17    Não incidencia ICMS conforme art. 8º, inc. III do RICMS/PE -  Lei nº 15.730/2016 e Decreto nº 44.650/2017   Dados bancários CNPJ (matriz): 21.185.583/0001-42 Banco Bradesco (237) / AG: 2372 / CC: 37030-4</t>
  </si>
  <si>
    <t>00000158</t>
  </si>
  <si>
    <t>EDP ESPÍRITO SANTO DISTRIBUIÇÃO DE ENERGIA S.A.</t>
  </si>
  <si>
    <t>28.152.650/0001-71</t>
  </si>
  <si>
    <t>Competência: Mar/2023 CCEAR Nº 30899/17    Não incidencia ICMS conforme art. 8º, inc. III do RICMS/PE -  Lei nº 15.730/2016 e Decreto nº 44.650/2017   Dados bancários CNPJ (matriz): 21.185.583/0001-42 Banco Bradesco (237) / AG: 2372 / CC: 37030-4</t>
  </si>
  <si>
    <t>00000159</t>
  </si>
  <si>
    <t>RGE SUL DISTRIBUIDORA DE ENERGIA S.A.</t>
  </si>
  <si>
    <t>02.016.440/0001-62</t>
  </si>
  <si>
    <t>Competência: Mar/2023 CCEAR Nº 30900/17    Não incidencia ICMS conforme art. 8º, inc. III do RICMS/PE -  Lei nº 15.730/2016 e Decreto nº 44.650/2017   Dados bancários CNPJ (matriz): 21.185.583/0001-42 Banco Bradesco (237) / AG: 2372 / CC: 37030-4</t>
  </si>
  <si>
    <t>AMERICA ENERGIA S/A</t>
  </si>
  <si>
    <t>11.085.823/0001-83</t>
  </si>
  <si>
    <t>Compra de Energia Operaçãp SWAP</t>
  </si>
  <si>
    <t>05/05/2023</t>
  </si>
  <si>
    <t>00000160</t>
  </si>
  <si>
    <t>Venda de energia bileral    Não incidencia ICMS conforme art. 8º, inc. III do RICMS/PE -  Lei nº 15.730/2016 e Decreto nº 44.650/2017   Dados bancários CNPJ (matriz): 21.185.583/0001-42 Banco Bradesco (237) / AG: 2372 / CC: 37030-4</t>
  </si>
  <si>
    <t>NF CANCELADA REFERENTE A OB2</t>
  </si>
  <si>
    <t>08/05/2023</t>
  </si>
  <si>
    <t>00000161</t>
  </si>
  <si>
    <t>16/05/2023</t>
  </si>
  <si>
    <t>00000163</t>
  </si>
  <si>
    <t>Competência: Abr/2023 CCEAR Nº 30876/17    Não incidencia ICMS conforme art. 8º, inc. III do RICMS/PE -  Lei nº 15.730/2016 e Decreto nº 44.650/2017   Dados bancários CNPJ (matriz): 21.185.583/0001-42 Banco Bradesco (237) / AG: 2372 / CC: 37030-4</t>
  </si>
  <si>
    <t>00000164</t>
  </si>
  <si>
    <t>Competência: Abr/2023 CCEAR Nº 30877/17    Não incidencia ICMS conforme art. 8º, inc. III do RICMS/PE -  Lei nº 15.730/2016 e Decreto nº 44.650/2017   Dados bancários CNPJ (matriz): 21.185.583/0001-42 Banco Bradesco (237) / AG: 2372 / CC: 37030-4</t>
  </si>
  <si>
    <t>00000165</t>
  </si>
  <si>
    <t>Competência: Abr/2023 CCEAR Nº 30878/17     Não incidencia ICMS conforme art. 8º, inc. III do RICMS/PE -  Lei nº 15.730/2016 e Decreto nº 44.650/2017   Dados bancários CNPJ (matriz): 21.185.583/0001-42 Banco Bradesco (237) / AG: 2372 / CC: 37030-4</t>
  </si>
  <si>
    <t>00000166</t>
  </si>
  <si>
    <t>Competência: Abr/2023 CCEAR Nº 30879/17     Não incidencia ICMS conforme art. 8º, inc. III do RICMS/PE -  Lei nº 15.730/2016 e Decreto nº 44.650/2017   Dados bancários CNPJ (matriz): 21.185.583/0001-42 Banco Bradesco (237) / AG: 2372 / CC: 37030-4</t>
  </si>
  <si>
    <t>00000167</t>
  </si>
  <si>
    <t>Competência: Abr/2023 CCEAR Nº 30880/17      Não incidencia ICMS conforme art. 8º, inc. III do RICMS/PE -  Lei nº 15.730/2016 e Decreto nº 44.650/2017   Dados bancários CNPJ (matriz): 21.185.583/0001-42 Banco Bradesco (237) / AG: 2372 / CC: 37030-4</t>
  </si>
  <si>
    <t>00000168</t>
  </si>
  <si>
    <t>Competência: Abr/2023 CCEAR Nº 30881/17    Não incidencia ICMS conforme art. 8º, inc. III do RICMS/PE -  Lei nº 15.730/2016 e Decreto nº 44.650/2017   Dados bancários CNPJ (matriz): 21.185.583/0001-42 Banco Bradesco (237) / AG: 2372 / CC: 37030-4</t>
  </si>
  <si>
    <t>00000169</t>
  </si>
  <si>
    <t>Competência: Abr/2023 CCEAR Nº 30882/17     Não incidencia ICMS conforme art. 8º, inc. III do RICMS/PE -  Lei nº 15.730/2016 e Decreto nº 44.650/2017   Dados bancários CNPJ (matriz): 21.185.583/0001-42 Banco Bradesco (237) / AG: 2372 / CC: 37030-4</t>
  </si>
  <si>
    <t>00000170</t>
  </si>
  <si>
    <t>Competência: Abr/2023 CCEAR Nº 30883/17     Não incidencia ICMS conforme art. 8º, inc. III do RICMS/PE -  Lei nº 15.730/2016 e Decreto nº 44.650/2017   Dados bancários CNPJ (matriz): 21.185.583/0001-42 Banco Bradesco (237) / AG: 2372 / CC: 37030-4</t>
  </si>
  <si>
    <t>00000171</t>
  </si>
  <si>
    <t>Competência: Abr/2023 CCEAR Nº 30884/17    Não incidencia ICMS conforme art. 8º, inc. III do RICMS/PE -  Lei nº 15.730/2016 e Decreto nº 44.650/2017   Dados bancários CNPJ (matriz): 21.185.583/0001-42 Banco Bradesco (237) / AG: 2372 / CC: 37030-4</t>
  </si>
  <si>
    <t>00000172</t>
  </si>
  <si>
    <t>Competência: Abr/2023 CCEAR Nº 30885/17    Não incidencia ICMS conforme art. 8º, inc. III do RICMS/PE -  Lei nº 15.730/2016 e Decreto nº 44.650/2017   Dados bancários CNPJ (matriz): 21.185.583/0001-42 Banco Bradesco (237) / AG: 2372 / CC: 37030-4</t>
  </si>
  <si>
    <t>00000173</t>
  </si>
  <si>
    <t>Competência: Abr/2023 CCEAR Nº 30886/17    Não incidencia ICMS conforme art. 8º, inc. III do RICMS/PE -  Lei nº 15.730/2016 e Decreto nº 44.650/2017   Dados bancários CNPJ (matriz): 21.185.583/0001-42 Banco Bradesco (237) / AG: 2372 / CC: 37030-4</t>
  </si>
  <si>
    <t>00000174</t>
  </si>
  <si>
    <t>Competência: Abr/2023 CCEAR Nº 30888/17    Não incidencia ICMS conforme art. 8º, inc. III do RICMS/PE -  Lei nº 15.730/2016 e Decreto nº 44.650/2017   Dados bancários CNPJ (matriz): 21.185.583/0001-42 Banco Bradesco (237) / AG: 2372 / CC: 37030-4</t>
  </si>
  <si>
    <t>00000175</t>
  </si>
  <si>
    <t>Competência: Abr/2023 CCEAR Nº 30889/17    Não incidencia ICMS conforme art. 8º, inc. III do RICMS/PE -  Lei nº 15.730/2016 e Decreto nº 44.650/2017   Dados bancários CNPJ (matriz): 21.185.583/0001-42 Banco Bradesco (237) / AG: 2372 / CC: 37030-4</t>
  </si>
  <si>
    <t>00000176</t>
  </si>
  <si>
    <t>Competência: Abr/2023 CCEAR Nº 30890/17    Não incidencia ICMS conforme art. 8º, inc. III do RICMS/PE -  Lei nº 15.730/2016 e Decreto nº 44.650/2017   Dados bancários CNPJ (matriz): 21.185.583/0001-42 Banco Bradesco (237) / AG: 2372 / CC: 37030-4</t>
  </si>
  <si>
    <t>00000177</t>
  </si>
  <si>
    <t>Competência: Abr/2023 CCEAR Nº 30891/17    Não incidencia ICMS conforme art. 8º, inc. III do RICMS/PE -  Lei nº 15.730/2016 e Decreto nº 44.650/2017   Dados bancários CNPJ (matriz): 21.185.583/0001-42 Banco Bradesco (237) / AG: 2372 / CC: 37030-4</t>
  </si>
  <si>
    <t>00000178</t>
  </si>
  <si>
    <t>Competência: Abr/2023 CCEAR Nº 30892/17    Não incidencia ICMS conforme art. 8º, inc. III do RICMS/PE -  Lei nº 15.730/2016 e Decreto nº 44.650/2017   Dados bancários CNPJ (matriz): 21.185.583/0001-42 Banco Bradesco (237) / AG: 2372 / CC: 37030-4</t>
  </si>
  <si>
    <t>00000179</t>
  </si>
  <si>
    <t>Competência: Abr/2023 CCEAR Nº 30893/17    Não incidencia ICMS conforme art. 8º, inc. III do RICMS/PE -  Lei nº 15.730/2016 e Decreto nº 44.650/2017   Dados bancários CNPJ (matriz): 21.185.583/0001-42 Banco Bradesco (237) / AG: 2372 / CC: 37030-4</t>
  </si>
  <si>
    <t>00000180</t>
  </si>
  <si>
    <t>Competência: Abr/2023 CCEAR Nº 30894/17    Não incidencia ICMS conforme art. 8º, inc. III do RICMS/PE -  Lei nº 15.730/2016 e Decreto nº 44.650/2017   Dados bancários CNPJ (matriz): 21.185.583/0001-42 Banco Bradesco (237) / AG: 2372 / CC: 37030-4</t>
  </si>
  <si>
    <t>00000181</t>
  </si>
  <si>
    <t>Competência: Abr/2023 CCEAR Nº 30895/17    Não incidencia ICMS conforme art. 8º, inc. III do RICMS/PE -  Lei nº 15.730/2016 e Decreto nº 44.650/2017   Dados bancários CNPJ (matriz): 21.185.583/0001-42 Banco Bradesco (237) / AG: 2372 / CC: 37030-4</t>
  </si>
  <si>
    <t>00000182</t>
  </si>
  <si>
    <t>Competência: Abr/2023 CCEAR Nº 30896/17    Não incidencia ICMS conforme art. 8º, inc. III do RICMS/PE -  Lei nº 15.730/2016 e Decreto nº 44.650/2017   Dados bancários CNPJ (matriz): 21.185.583/0001-42 Banco Bradesco (237) / AG: 2372 / CC: 37030-4</t>
  </si>
  <si>
    <t>00000183</t>
  </si>
  <si>
    <t>Competência: Abr/2023 CCEAR Nº 30887/17    Não incidencia ICMS conforme art. 8º, inc. III do RICMS/PE -  Lei nº 15.730/2016 e Decreto nº 44.650/2017   Dados bancários CNPJ (matriz): 21.185.583/0001-42 Banco Bradesco (237) / AG: 2372 / CC: 37030-4</t>
  </si>
  <si>
    <t>00000184</t>
  </si>
  <si>
    <t>Competência: Abr/2023 CCEAR Nº 30897/17    Não incidencia ICMS conforme art. 8º, inc. III do RICMS/PE -  Lei nº 15.730/2016 e Decreto nº 44.650/2017   Dados bancários CNPJ (matriz): 21.185.583/0001-42 Banco Bradesco (237) / AG: 2372 / CC: 37030-4</t>
  </si>
  <si>
    <t>00000185</t>
  </si>
  <si>
    <t>Competência: Abr/2023 CCEAR Nº 30898/17    Não incidencia ICMS conforme art. 8º, inc. III do RICMS/PE -  Lei nº 15.730/2016 e Decreto nº 44.650/2017   Dados bancários CNPJ (matriz): 21.185.583/0001-42 Banco Bradesco (237) / AG: 2372 / CC: 37030-4</t>
  </si>
  <si>
    <t>00000186</t>
  </si>
  <si>
    <t>Competência: Abr/2023 CCEAR Nº 30899/17    Não incidencia ICMS conforme art. 8º, inc. III do RICMS/PE -  Lei nº 15.730/2016 e Decreto nº 44.650/2017   Dados bancários CNPJ (matriz): 21.185.583/0001-42 Banco Bradesco (237) / AG: 2372 / CC: 37030-4</t>
  </si>
  <si>
    <t>00000187</t>
  </si>
  <si>
    <t>Competência: Abr/2023 CCEAR Nº 30900/17    Não incidencia ICMS conforme art. 8º, inc. III do RICMS/PE -  Lei nº 15.730/2016 e Decreto nº 44.650/2017   Dados bancários CNPJ (matriz): 21.185.583/0001-42 Banco Bradesco (237) / AG: 2372 / CC: 37030-4</t>
  </si>
  <si>
    <t>Total geral</t>
  </si>
  <si>
    <t/>
  </si>
  <si>
    <t>Valor Considerado Para a Nota Fiscal</t>
  </si>
  <si>
    <t>Fator de Ajuste</t>
  </si>
  <si>
    <t>Valor Total Ajustado</t>
  </si>
  <si>
    <t>Faturamento por Período receita Faturamento por Período</t>
  </si>
  <si>
    <t>00000010</t>
  </si>
  <si>
    <t>Venda bileral   Não incidencia ICMS conforme art. 8º, inc. III do RICMS/PE -  Lei nº 15.730/2016 e Decreto nº 44.650/2017   Dados bancários CNPJ (matriz): 21.185.644/0001-71 Banco Bradesco (237) / AG: 2372  / CC: 37033-9</t>
  </si>
  <si>
    <t>NF CANCELADA REFERENTE A OB1</t>
  </si>
  <si>
    <t>00000011</t>
  </si>
  <si>
    <t>00000013</t>
  </si>
  <si>
    <t>Competência: Abr/2023 CCEAR Nº 30901/17    Não incidencia ICMS conforme art. 8º, inc. III do RICMS/PE -  Lei nº 15.730/2016 e Decreto nº 44.650/2017   Dados bancários CNPJ (matriz): 21.185.644/0001-71  Banco Bradesco (237) / AG: 2372 / CC: 37033-9</t>
  </si>
  <si>
    <t>00000014</t>
  </si>
  <si>
    <t>Competência: Abr/2023 CCEAR Nº 30902/17   Não incidencia ICMS conforme art. 8º, inc. III do RICMS/PE -  Lei nº 15.730/2016 e Decreto nº 44.650/2017   Dados bancários CNPJ (matriz): 21.185.644/0001-71  Banco Bradesco (237) / AG: 2372 / CC: 37033-9</t>
  </si>
  <si>
    <t>00000015</t>
  </si>
  <si>
    <t>Competência: Abr/2023 CCEAR Nº 30903/17   Não incidencia ICMS conforme art. 8º, inc. III do RICMS/PE -  Lei nº 15.730/2016 e Decreto nº 44.650/2017   Dados bancários CNPJ (matriz): 21.185.644/0001-71  Banco Bradesco (237) / AG: 2372 / CC: 37033-9</t>
  </si>
  <si>
    <t>00000016</t>
  </si>
  <si>
    <t>Competência: Abr/2023 CCEAR Nº 30904/17   Não incidencia ICMS conforme art. 8º, inc. III do RICMS/PE -  Lei nº 15.730/2016 e Decreto nº 44.650/2017   Dados bancários CNPJ (matriz): 21.185.644/0001-71  Banco Bradesco (237) / AG: 2372 / CC: 37033-9</t>
  </si>
  <si>
    <t>00000017</t>
  </si>
  <si>
    <t>COMPANHIA ESTADUAL DE DISTRIBUICAO DE ENERGIA ELETRICA - CEE</t>
  </si>
  <si>
    <t>Competência: Abr/2023  CCEAR Nº 30905/17    Não incidencia ICMS conforme art. 8º, inc. III do RICMS/PE -  Lei nº 15.730/2016 e Decreto nº 44.650/2017   Dados bancários CNPJ (matriz): 21.185.644/0001-71  Banco Bradesco (237) / AG: 2372 / CC: 37033-9</t>
  </si>
  <si>
    <t>00000018</t>
  </si>
  <si>
    <t>Competência: Abr/2023 CCEAR Nº 30906/17   Não incidencia ICMS conforme art. 8º, inc. III do RICMS/PE -  Lei nº 15.730/2016 e Decreto nº 44.650/2017   Dados bancários CNPJ (matriz): 21.185.644/0001-71  Banco Bradesco (237) / AG: 2372 / CC: 37033-9</t>
  </si>
  <si>
    <t>00000019</t>
  </si>
  <si>
    <t>Competência: Abr/2023 CCEAR Nº 30907/17   Não incidencia ICMS conforme art. 8º, inc. III do RICMS/PE -  Lei nº 15.730/2016 e Decreto nº 44.650/2017   Dados bancários CNPJ (matriz): 21.185.644/0001-71  Banco Bradesco (237) / AG: 2372 / CC: 37033-9</t>
  </si>
  <si>
    <t>00000020</t>
  </si>
  <si>
    <t>Competência: Abr/2023 CCEAR Nº 30908/17   Não incidencia ICMS conforme art. 8º, inc. III do RICMS/PE -  Lei nº 15.730/2016 e Decreto nº 44.650/2017   Dados bancários CNPJ (matriz): 21.185.644/0001-71  Banco Bradesco (237) / AG: 2372 / CC: 37033-9</t>
  </si>
  <si>
    <t>00000021</t>
  </si>
  <si>
    <t>EQUATORIAL MARANHAO DISTRIBUIDORA DE ENERGIA S.A</t>
  </si>
  <si>
    <t>Competência: Abr/2023  CCEAR Nº 30909/17    Não incidencia ICMS conforme art. 8º, inc. III do RICMS/PE -  Lei nº 15.730/2016 e Decreto nº 44.650/2017   Dados bancários CNPJ (matriz): 21.185.644/0001-71  Banco Bradesco (237) / AG: 2372 / CC: 37033-9</t>
  </si>
  <si>
    <t>00000022</t>
  </si>
  <si>
    <t>Competência: Abr/2023 CCEAR Nº 30910/17   Não incidencia ICMS conforme art. 8º, inc. III do RICMS/PE -  Lei nº 15.730/2016 e Decreto nº 44.650/2017   Dados bancários CNPJ (matriz): 21.185.644/0001-71  Banco Bradesco (237) / AG: 2372 / CC: 37033-9</t>
  </si>
  <si>
    <t>00000023</t>
  </si>
  <si>
    <t>EQUATORIAL PIAUI DISTRIBUIDORA DE ENERGIA S.A</t>
  </si>
  <si>
    <t>Competência: Abr/2023  CCEAR Nº 30911/17    Não incidencia ICMS conforme art. 8º, inc. III do RICMS/PE -  Lei nº 15.730/2016 e Decreto nº 44.650/2017   Dados bancários CNPJ (matriz): 21.185.644/0001-71  Banco Bradesco (237) / AG: 2372 / CC: 37033-9</t>
  </si>
  <si>
    <t>00000024</t>
  </si>
  <si>
    <t>Competência: Abr/2023 CCEAR Nº 30913/17   Não incidencia ICMS conforme art. 8º, inc. III do RICMS/PE -  Lei nº 15.730/2016 e Decreto nº 44.650/2017   Dados bancários CNPJ (matriz): 21.185.644/0001-71  Banco Bradesco (237) / AG: 2372 / CC: 37033-9</t>
  </si>
  <si>
    <t>00000025</t>
  </si>
  <si>
    <t>Competência: Abr/2023 CCEAR Nº 30914/17   Não incidencia ICMS conforme art. 8º, inc. III do RICMS/PE -  Lei nº 15.730/2016 e Decreto nº 44.650/2017   Dados bancários CNPJ (matriz): 21.185.644/0001-71  Banco Bradesco (237) / AG: 2372 / CC: 37033-9</t>
  </si>
  <si>
    <t>00000026</t>
  </si>
  <si>
    <t>Competência: Abr/2023 CCEAR Nº 30915/17   Não incidencia ICMS conforme art. 8º, inc. III do RICMS/PE - Lei nº 15.730/2016 e Decreto nº 44.650/2017   Dados bancários CNPJ (matriz): 21.185.644/0001-71  Banco Bradesco (237) / AG: 2372 / CC: 37033-9</t>
  </si>
  <si>
    <t>00000027</t>
  </si>
  <si>
    <t>COMPANHIA ENERGETICA DO RIO GRANDE DO NORTE COSERN</t>
  </si>
  <si>
    <t>Competência: Abr/2023  CCEAR Nº 30916/17    Não incidencia ICMS conforme art. 8º, inc. III do RICMS/PE -  Lei nº 15.730/2016 e Decreto nº 44.650/2017   Dados bancários CNPJ (matriz): 21.185.644/0001-71  Banco Bradesco (237) / AG: 2372 / CC: 37033-9</t>
  </si>
  <si>
    <t>00000028</t>
  </si>
  <si>
    <t>Competência: Abr/2023 CCEAR Nº 30917/17   Não incidencia ICMS conforme art. 8º, inc. III do RICMS/PE -  Lei nº 15.730/2016 e Decreto nº 44.650/2017   Dados bancários CNPJ (matriz): 21.185.644/0001-71  Banco Bradesco (237) / AG: 2372 / CC: 37033-9</t>
  </si>
  <si>
    <t>00000029</t>
  </si>
  <si>
    <t>ENERGISA MINAS GERAIS - DISTRIBUIDORA DE ENERGIA S.A.</t>
  </si>
  <si>
    <t>Competência: Abr/2023 CCEAR Nº 30918/17   Não incidencia ICMS conforme art. 8º, inc. III do RICMS/PE -  Lei nº 15.730/2016 e Decreto nº 44.650/2017   Dados bancários CNPJ (matriz): 21.185.644/0001-71  Banco Bradesco (237) / AG: 2372 / CC: 37033-9</t>
  </si>
  <si>
    <t>00000030</t>
  </si>
  <si>
    <t>Competência: Abr/2023 CCEAR Nº 30919/17   Não incidencia ICMS conforme art. 8º, inc. III do RICMS/PE -  Lei nº 15.730/2016 e Decreto nº 44.650/2017   Dados bancários CNPJ (matriz): 21.185.644/0001-71  Banco Bradesco (237) / AG: 2372 / CC: 37033-9</t>
  </si>
  <si>
    <t>00000031</t>
  </si>
  <si>
    <t>Competência: Abr/2023 CCEAR Nº 30920/17   Não incidencia ICMS conforme art. 8º, inc. III do RICMS/PE -  Lei nº 15.730/2016 e Decreto nº 44.650/2017   Dados bancários CNPJ (matriz): 21.185.644/0001-71  Banco Bradesco (237) / AG: 2372 / CC: 37033-9</t>
  </si>
  <si>
    <t>00000032</t>
  </si>
  <si>
    <t>Competência: Abr/2023 CCEAR Nº 30921/17   Não incidencia ICMS conforme art. 8º, inc. III do RICMS/PE -  Lei nº 15.730/2016 e Decreto nº 44.650/2017   Dados bancários CNPJ (matriz): 21.185.644/0001-71  Banco Bradesco (237) / AG: 2372 / CC: 37033-9</t>
  </si>
  <si>
    <t>00000033</t>
  </si>
  <si>
    <t>ENERGISA RONDONIA - DISTRIBUIDORA DE ENERGIA S.A</t>
  </si>
  <si>
    <t>Competência: Abr/2023  CCEAR Nº 30912/17    Não incidencia ICMS conforme art. 8º, inc. III do RICMS/PE -  Lei nº 15.730/2016 e Decreto nº 44.650/2017   Dados bancários CNPJ (matriz): 21.185.644/0001-71  Banco Bradesco (237) / AG: 2372 / CC: 37033-9</t>
  </si>
  <si>
    <t>00000034</t>
  </si>
  <si>
    <t>Competência: Abr/2023 CCEAR Nº 30922/17   Não incidencia ICMS conforme art. 8º, inc. III do RICMS/PE -  Lei nº 15.730/2016 e Decreto nº 44.650/2017   Dados bancários CNPJ (matriz): 21.185.644/0001-71  Banco Bradesco (237) / AG: 2372 / CC: 37033-9</t>
  </si>
  <si>
    <t>00000035</t>
  </si>
  <si>
    <t>Competência: Abr/2023 CCEAR Nº 30923/17   Não incidencia ICMS conforme art. 8º, inc. III do RICMS/PE -  Lei nº 15.730/2016 e Decreto nº 44.650/2017   Dados bancários CNPJ (matriz): 21.185.644/0001-71  Banco Bradesco (237) / AG: 2372 / CC: 37033-9</t>
  </si>
  <si>
    <t>00000036</t>
  </si>
  <si>
    <t>Competência: Abr/2023 CCEAR Nº 30924/17   Não incidencia ICMS conforme art. 8º, inc. III do RICMS/PE -  Lei nº 15.730/2016 e Decreto nº 44.650/2017   Dados bancários CNPJ (matriz): 21.185.644/0001-71  Banco Bradesco (237) / AG: 2372 / CC: 37033-9</t>
  </si>
  <si>
    <t>00000037</t>
  </si>
  <si>
    <t>Competência: Abr/2023 CCEAR Nº 30925/17   Não incidencia ICMS conforme art. 8º, inc. III do RICMS/PE -  Lei nº 15.730/2016 e Decreto nº 44.650/2017   Dados bancários CNPJ (matriz): 21.185.644/0001-71  Banco Bradesco (237) / AG: 2372 / CC: 37033-9</t>
  </si>
  <si>
    <t>Com a Compra de Energia</t>
  </si>
  <si>
    <t>Mês de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</si>
</sst>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[$BRL]\ * #,##0.00_);_([$BRL]\ * \(#,##0.00\);_([$BRL]\ * &quot;-&quot;??_);_(@_)"/>
    <numFmt numFmtId="165" formatCode="0.0%"/>
    <numFmt numFmtId="166" formatCode="&quot;R$&quot;\ #,##0.00"/>
    <numFmt numFmtId="167" formatCode="#,##0.0#########;\-#,##0.0#########"/>
    <numFmt numFmtId="168" formatCode="[$R$ ]\ #,##0.00;\-[$R$ ]#,##0.00"/>
    <numFmt numFmtId="169" formatCode="#,##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1111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1111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F7F7F7"/>
        <bgColor rgb="FFF7F7F7"/>
      </patternFill>
    </fill>
    <fill>
      <patternFill patternType="solid">
        <fgColor rgb="FFFFFF00"/>
        <bgColor rgb="FFF7F7F7"/>
      </patternFill>
    </fill>
    <fill>
      <patternFill patternType="solid">
        <fgColor rgb="FFFFFF00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dotted">
        <color indexed="64"/>
      </right>
      <top style="thin">
        <color theme="4"/>
      </top>
      <bottom/>
      <diagonal/>
    </border>
    <border>
      <left style="dotted">
        <color indexed="64"/>
      </left>
      <right style="dotted">
        <color indexed="64"/>
      </right>
      <top style="thin">
        <color theme="4"/>
      </top>
      <bottom/>
      <diagonal/>
    </border>
    <border>
      <left style="dotted">
        <color indexed="64"/>
      </left>
      <right style="hair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4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left" indent="1"/>
    </xf>
    <xf numFmtId="17" fontId="0" fillId="0" borderId="2" xfId="0" applyNumberFormat="1" applyBorder="1" applyAlignment="1">
      <alignment horizontal="center"/>
    </xf>
    <xf numFmtId="0" fontId="2" fillId="3" borderId="0" xfId="0" applyFont="1" applyFill="1" applyAlignment="1">
      <alignment horizontal="left" indent="1"/>
    </xf>
    <xf numFmtId="0" fontId="2" fillId="3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 indent="1"/>
    </xf>
    <xf numFmtId="0" fontId="0" fillId="0" borderId="5" xfId="0" applyBorder="1" applyAlignment="1">
      <alignment horizontal="center"/>
    </xf>
    <xf numFmtId="164" fontId="0" fillId="0" borderId="6" xfId="0" applyNumberFormat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0" fontId="0" fillId="0" borderId="8" xfId="2" applyNumberFormat="1" applyFont="1" applyBorder="1" applyAlignment="1">
      <alignment horizontal="center"/>
    </xf>
    <xf numFmtId="165" fontId="0" fillId="0" borderId="3" xfId="2" applyNumberFormat="1" applyFont="1" applyBorder="1"/>
    <xf numFmtId="164" fontId="0" fillId="0" borderId="3" xfId="0" applyNumberFormat="1" applyBorder="1"/>
    <xf numFmtId="0" fontId="3" fillId="0" borderId="0" xfId="0" applyFont="1"/>
    <xf numFmtId="0" fontId="0" fillId="0" borderId="0" xfId="0" applyAlignment="1">
      <alignment horizontal="left"/>
    </xf>
    <xf numFmtId="43" fontId="0" fillId="0" borderId="7" xfId="1" applyFont="1" applyBorder="1"/>
    <xf numFmtId="165" fontId="0" fillId="0" borderId="8" xfId="2" applyNumberFormat="1" applyFont="1" applyBorder="1"/>
    <xf numFmtId="43" fontId="0" fillId="0" borderId="7" xfId="1" applyFont="1" applyBorder="1" applyAlignment="1">
      <alignment horizontal="left"/>
    </xf>
    <xf numFmtId="0" fontId="0" fillId="0" borderId="7" xfId="0" applyBorder="1" applyAlignment="1">
      <alignment horizontal="right"/>
    </xf>
    <xf numFmtId="0" fontId="2" fillId="3" borderId="9" xfId="0" applyFont="1" applyFill="1" applyBorder="1" applyAlignment="1">
      <alignment horizontal="left"/>
    </xf>
    <xf numFmtId="164" fontId="0" fillId="0" borderId="10" xfId="0" applyNumberFormat="1" applyBorder="1"/>
    <xf numFmtId="0" fontId="2" fillId="3" borderId="11" xfId="0" applyFont="1" applyFill="1" applyBorder="1" applyAlignment="1">
      <alignment horizontal="left" indent="1"/>
    </xf>
    <xf numFmtId="0" fontId="5" fillId="4" borderId="12" xfId="0" applyFont="1" applyFill="1" applyBorder="1" applyAlignment="1">
      <alignment vertical="center"/>
    </xf>
    <xf numFmtId="0" fontId="6" fillId="0" borderId="0" xfId="0" applyFont="1"/>
    <xf numFmtId="0" fontId="5" fillId="4" borderId="12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4" fontId="5" fillId="4" borderId="12" xfId="0" applyNumberFormat="1" applyFont="1" applyFill="1" applyBorder="1" applyAlignment="1">
      <alignment horizontal="right" vertical="center"/>
    </xf>
    <xf numFmtId="166" fontId="5" fillId="4" borderId="12" xfId="0" applyNumberFormat="1" applyFont="1" applyFill="1" applyBorder="1" applyAlignment="1">
      <alignment horizontal="center" vertical="center"/>
    </xf>
    <xf numFmtId="4" fontId="6" fillId="0" borderId="0" xfId="0" applyNumberFormat="1" applyFont="1"/>
    <xf numFmtId="0" fontId="5" fillId="6" borderId="12" xfId="0" applyFont="1" applyFill="1" applyBorder="1" applyAlignment="1">
      <alignment horizontal="left" vertical="center"/>
    </xf>
    <xf numFmtId="4" fontId="5" fillId="7" borderId="12" xfId="0" applyNumberFormat="1" applyFont="1" applyFill="1" applyBorder="1" applyAlignment="1">
      <alignment horizontal="right" vertical="center"/>
    </xf>
    <xf numFmtId="166" fontId="5" fillId="7" borderId="12" xfId="0" applyNumberFormat="1" applyFont="1" applyFill="1" applyBorder="1" applyAlignment="1">
      <alignment horizontal="center" vertical="center"/>
    </xf>
    <xf numFmtId="4" fontId="7" fillId="0" borderId="0" xfId="0" applyNumberFormat="1" applyFont="1"/>
    <xf numFmtId="167" fontId="8" fillId="4" borderId="12" xfId="0" applyNumberFormat="1" applyFont="1" applyFill="1" applyBorder="1" applyAlignment="1">
      <alignment horizontal="right" vertical="center"/>
    </xf>
    <xf numFmtId="169" fontId="5" fillId="7" borderId="12" xfId="0" applyNumberFormat="1" applyFont="1" applyFill="1" applyBorder="1" applyAlignment="1">
      <alignment horizontal="right" vertical="center"/>
    </xf>
    <xf numFmtId="166" fontId="5" fillId="7" borderId="12" xfId="0" applyNumberFormat="1" applyFont="1" applyFill="1" applyBorder="1" applyAlignment="1">
      <alignment horizontal="right" vertical="center"/>
    </xf>
    <xf numFmtId="168" fontId="5" fillId="7" borderId="12" xfId="0" applyNumberFormat="1" applyFont="1" applyFill="1" applyBorder="1" applyAlignment="1">
      <alignment horizontal="right" vertical="center"/>
    </xf>
    <xf numFmtId="0" fontId="7" fillId="0" borderId="0" xfId="0" applyFont="1"/>
    <xf numFmtId="169" fontId="5" fillId="4" borderId="12" xfId="0" applyNumberFormat="1" applyFont="1" applyFill="1" applyBorder="1" applyAlignment="1">
      <alignment horizontal="right" vertical="center"/>
    </xf>
    <xf numFmtId="166" fontId="5" fillId="4" borderId="12" xfId="0" applyNumberFormat="1" applyFont="1" applyFill="1" applyBorder="1" applyAlignment="1">
      <alignment horizontal="right" vertical="center"/>
    </xf>
    <xf numFmtId="168" fontId="5" fillId="4" borderId="12" xfId="0" applyNumberFormat="1" applyFont="1" applyFill="1" applyBorder="1" applyAlignment="1">
      <alignment horizontal="right" vertical="center"/>
    </xf>
    <xf numFmtId="167" fontId="5" fillId="4" borderId="12" xfId="0" applyNumberFormat="1" applyFont="1" applyFill="1" applyBorder="1" applyAlignment="1">
      <alignment horizontal="right" vertical="center"/>
    </xf>
    <xf numFmtId="0" fontId="9" fillId="9" borderId="3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164" fontId="9" fillId="8" borderId="6" xfId="0" applyNumberFormat="1" applyFont="1" applyFill="1" applyBorder="1"/>
    <xf numFmtId="164" fontId="9" fillId="8" borderId="0" xfId="0" applyNumberFormat="1" applyFont="1" applyFill="1"/>
    <xf numFmtId="0" fontId="10" fillId="2" borderId="1" xfId="0" applyFont="1" applyFill="1" applyBorder="1"/>
    <xf numFmtId="0" fontId="10" fillId="2" borderId="13" xfId="0" applyFont="1" applyFill="1" applyBorder="1"/>
    <xf numFmtId="0" fontId="10" fillId="2" borderId="2" xfId="0" applyFont="1" applyFill="1" applyBorder="1" applyAlignment="1">
      <alignment horizontal="right"/>
    </xf>
    <xf numFmtId="168" fontId="5" fillId="4" borderId="11" xfId="0" applyNumberFormat="1" applyFont="1" applyFill="1" applyBorder="1" applyAlignment="1">
      <alignment horizontal="right" vertical="center"/>
    </xf>
    <xf numFmtId="168" fontId="6" fillId="0" borderId="11" xfId="0" applyNumberFormat="1" applyFont="1" applyBorder="1"/>
    <xf numFmtId="0" fontId="10" fillId="2" borderId="11" xfId="0" applyFont="1" applyFill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0" xfId="0" applyBorder="1" applyAlignment="1">
      <alignment horizontal="left" indent="1"/>
    </xf>
    <xf numFmtId="0" fontId="0" fillId="0" borderId="20" xfId="0" applyBorder="1" applyAlignment="1">
      <alignment horizontal="center"/>
    </xf>
    <xf numFmtId="164" fontId="0" fillId="0" borderId="20" xfId="0" applyNumberFormat="1" applyBorder="1"/>
    <xf numFmtId="164" fontId="0" fillId="0" borderId="20" xfId="0" applyNumberFormat="1" applyBorder="1" applyAlignment="1">
      <alignment horizontal="center"/>
    </xf>
    <xf numFmtId="0" fontId="5" fillId="0" borderId="12" xfId="0" applyFont="1" applyBorder="1" applyAlignment="1">
      <alignment horizontal="left" vertical="center"/>
    </xf>
    <xf numFmtId="169" fontId="5" fillId="0" borderId="12" xfId="0" applyNumberFormat="1" applyFont="1" applyBorder="1" applyAlignment="1">
      <alignment horizontal="right" vertical="center"/>
    </xf>
    <xf numFmtId="166" fontId="5" fillId="0" borderId="12" xfId="0" applyNumberFormat="1" applyFont="1" applyBorder="1" applyAlignment="1">
      <alignment horizontal="right" vertical="center"/>
    </xf>
    <xf numFmtId="168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left" vertical="center"/>
    </xf>
    <xf numFmtId="164" fontId="11" fillId="8" borderId="6" xfId="0" applyNumberFormat="1" applyFont="1" applyFill="1" applyBorder="1"/>
    <xf numFmtId="164" fontId="11" fillId="8" borderId="0" xfId="0" applyNumberFormat="1" applyFont="1" applyFill="1"/>
    <xf numFmtId="0" fontId="12" fillId="0" borderId="0" xfId="0" applyFont="1"/>
    <xf numFmtId="0" fontId="5" fillId="10" borderId="12" xfId="0" applyFont="1" applyFill="1" applyBorder="1" applyAlignment="1">
      <alignment horizontal="left" vertical="center"/>
    </xf>
    <xf numFmtId="4" fontId="5" fillId="10" borderId="12" xfId="0" applyNumberFormat="1" applyFont="1" applyFill="1" applyBorder="1" applyAlignment="1">
      <alignment horizontal="right" vertical="center"/>
    </xf>
    <xf numFmtId="166" fontId="5" fillId="10" borderId="12" xfId="0" applyNumberFormat="1" applyFont="1" applyFill="1" applyBorder="1" applyAlignment="1">
      <alignment horizontal="center" vertical="center"/>
    </xf>
    <xf numFmtId="0" fontId="0" fillId="8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_([$BRL]\ * #,##0.00_);_([$BRL]\ * \(#,##0.00\);_([$BRL]\ * &quot;-&quot;??_);_(@_)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_([$BRL]\ * #,##0.00_);_([$BRL]\ * \(#,##0.00\);_([$BRL]\ * &quot;-&quot;??_);_(@_)"/>
      <fill>
        <patternFill patternType="solid">
          <fgColor indexed="64"/>
          <bgColor theme="7" tint="0.79998168889431442"/>
        </patternFill>
      </fill>
      <border diagonalUp="0" diagonalDown="0" outline="0">
        <left style="dotted">
          <color indexed="64"/>
        </left>
        <right style="hair">
          <color indexed="64"/>
        </right>
        <top/>
        <bottom/>
      </border>
    </dxf>
    <dxf>
      <numFmt numFmtId="164" formatCode="_([$BRL]\ * #,##0.00_);_([$BRL]\ * \(#,##0.00\);_([$BRL]\ * &quot;-&quot;??_);_(@_)"/>
    </dxf>
    <dxf>
      <numFmt numFmtId="164" formatCode="_([$BRL]\ * #,##0.00_);_([$BRL]\ * \(#,##0.00\);_([$BRL]\ * &quot;-&quot;??_);_(@_)"/>
      <border diagonalUp="0" diagonalDown="0">
        <left style="hair">
          <color indexed="64"/>
        </left>
      </border>
    </dxf>
    <dxf>
      <numFmt numFmtId="164" formatCode="_([$BRL]\ * #,##0.00_);_([$BRL]\ * \(#,##0.00\);_([$BRL]\ * &quot;-&quot;??_);_(@_)"/>
      <alignment horizontal="center" vertical="bottom" textRotation="0" wrapText="0" indent="0" justifyLastLine="0" shrinkToFit="0" readingOrder="0"/>
    </dxf>
    <dxf>
      <numFmt numFmtId="164" formatCode="_([$BRL]\ * #,##0.00_);_([$BRL]\ * \(#,##0.00\);_([$BRL]\ * &quot;-&quot;??_);_(@_)"/>
      <fill>
        <patternFill patternType="none">
          <fgColor indexed="64"/>
          <bgColor auto="1"/>
        </patternFill>
      </fill>
      <border diagonalUp="0" diagonalDown="0">
        <right style="hair">
          <color indexed="64"/>
        </right>
        <top/>
        <bottom/>
      </border>
    </dxf>
    <dxf>
      <numFmt numFmtId="164" formatCode="_([$BRL]\ * #,##0.00_);_([$BRL]\ * \(#,##0.00\);_([$BRL]\ * &quot;-&quot;??_);_(@_)"/>
    </dxf>
    <dxf>
      <numFmt numFmtId="164" formatCode="_([$BRL]\ * #,##0.00_);_([$BRL]\ * \(#,##0.00\);_([$BRL]\ * &quot;-&quot;??_);_(@_)"/>
      <border diagonalUp="0" diagonalDown="0">
        <left style="hair">
          <color indexed="64"/>
        </left>
        <right/>
        <top/>
        <bottom/>
      </border>
    </dxf>
    <dxf>
      <numFmt numFmtId="164" formatCode="_([$BRL]\ * #,##0.00_);_([$BRL]\ * \(#,##0.00\);_([$BRL]\ * &quot;-&quot;??_);_(@_)"/>
    </dxf>
    <dxf>
      <numFmt numFmtId="165" formatCode="0.0%"/>
      <border diagonalUp="0" diagonalDown="0">
        <left/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_([$BRL]\ * #,##0.00_);_([$BRL]\ * \(#,##0.00\);_([$BRL]\ * &quot;-&quot;??_);_(@_)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BRL]\ * #,##0.00_);_([$BRL]\ * \(#,##0.00\);_([$BRL]\ * &quot;-&quot;??_);_(@_)"/>
      <fill>
        <patternFill patternType="solid">
          <fgColor indexed="64"/>
          <bgColor theme="7" tint="0.79998168889431442"/>
        </patternFill>
      </fill>
      <border diagonalUp="0" diagonalDown="0" outline="0">
        <left style="dotted">
          <color indexed="64"/>
        </left>
        <right style="hair">
          <color indexed="64"/>
        </right>
        <top/>
        <bottom/>
      </border>
    </dxf>
    <dxf>
      <numFmt numFmtId="164" formatCode="_([$BRL]\ * #,##0.00_);_([$BRL]\ * \(#,##0.00\);_([$BRL]\ * &quot;-&quot;??_);_(@_)"/>
    </dxf>
    <dxf>
      <numFmt numFmtId="164" formatCode="_([$BRL]\ * #,##0.00_);_([$BRL]\ * \(#,##0.00\);_([$BRL]\ * &quot;-&quot;??_);_(@_)"/>
      <border diagonalUp="0" diagonalDown="0">
        <left style="dotted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/>
        <bottom/>
      </border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>
        <left/>
        <right style="dotted">
          <color indexed="6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[$BRL]\ * #,##0.00_);_([$BRL]\ * \(#,##0.00\);_([$BRL]\ * &quot;-&quot;??_);_(@_)"/>
      <border diagonalUp="0" diagonalDown="0">
        <left style="dotted">
          <color indexed="64"/>
        </left>
        <right style="hair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border diagonalUp="0" diagonalDown="0">
        <left style="dotted">
          <color indexed="64"/>
        </left>
        <right style="dotted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dotted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dotted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BRL]\ * #,##0.00_);_([$BRL]\ * \(#,##0.00\);_([$BRL]\ * &quot;-&quot;??_);_(@_)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BRL]\ * #,##0.00_);_([$BRL]\ * \(#,##0.00\);_([$BRL]\ * &quot;-&quot;??_);_(@_)"/>
      <fill>
        <patternFill patternType="solid">
          <fgColor indexed="64"/>
          <bgColor theme="7" tint="0.79998168889431442"/>
        </patternFill>
      </fill>
      <border diagonalUp="0" diagonalDown="0" outline="0">
        <left style="dotted">
          <color indexed="64"/>
        </left>
        <right style="hair">
          <color indexed="64"/>
        </right>
        <top/>
        <bottom/>
      </border>
    </dxf>
    <dxf>
      <numFmt numFmtId="164" formatCode="_([$BRL]\ * #,##0.00_);_([$BRL]\ * \(#,##0.00\);_([$BRL]\ * &quot;-&quot;??_);_(@_)"/>
      <alignment horizontal="righ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relativeIndent="1" justifyLastLine="0" shrinkToFit="0" readingOrder="0"/>
      <border diagonalUp="0" diagonalDown="0" outline="0">
        <left/>
        <right style="dotted">
          <color indexed="64"/>
        </right>
        <top style="thin">
          <color theme="4"/>
        </top>
        <bottom/>
      </border>
    </dxf>
    <dxf>
      <border outline="0">
        <left style="thin">
          <color theme="4"/>
        </left>
        <top style="thin">
          <color theme="4"/>
        </top>
      </border>
    </dxf>
    <dxf>
      <numFmt numFmtId="164" formatCode="_([$BRL]\ * #,##0.00_);_([$BRL]\ * \(#,##0.00\);_([$BRL]\ * &quot;-&quot;??_);_(@_)"/>
    </dxf>
    <dxf>
      <numFmt numFmtId="164" formatCode="_([$BRL]\ * #,##0.00_);_([$BRL]\ * \(#,##0.00\);_([$BRL]\ * &quot;-&quot;??_);_(@_)"/>
      <border diagonalUp="0" diagonalDown="0">
        <left style="hair">
          <color indexed="64"/>
        </left>
      </border>
    </dxf>
    <dxf>
      <numFmt numFmtId="164" formatCode="_([$BRL]\ * #,##0.00_);_([$BRL]\ * \(#,##0.00\);_([$BRL]\ * &quot;-&quot;??_);_(@_)"/>
      <alignment horizontal="center" vertical="bottom" textRotation="0" wrapText="0" indent="0" justifyLastLine="0" shrinkToFit="0" readingOrder="0"/>
    </dxf>
    <dxf>
      <numFmt numFmtId="164" formatCode="_([$BRL]\ * #,##0.00_);_([$BRL]\ * \(#,##0.00\);_([$BRL]\ * &quot;-&quot;??_);_(@_)"/>
      <fill>
        <patternFill patternType="none">
          <fgColor indexed="64"/>
          <bgColor auto="1"/>
        </patternFill>
      </fill>
      <border diagonalUp="0" diagonalDown="0">
        <right style="hair">
          <color indexed="64"/>
        </right>
        <top/>
        <bottom/>
      </border>
    </dxf>
    <dxf>
      <numFmt numFmtId="164" formatCode="_([$BRL]\ * #,##0.00_);_([$BRL]\ * \(#,##0.00\);_([$BRL]\ * &quot;-&quot;??_);_(@_)"/>
    </dxf>
    <dxf>
      <numFmt numFmtId="164" formatCode="_([$BRL]\ * #,##0.00_);_([$BRL]\ * \(#,##0.00\);_([$BRL]\ * &quot;-&quot;??_);_(@_)"/>
      <border diagonalUp="0" diagonalDown="0">
        <left style="hair">
          <color indexed="64"/>
        </left>
        <right/>
        <top/>
        <bottom/>
      </border>
    </dxf>
    <dxf>
      <numFmt numFmtId="164" formatCode="_([$BRL]\ * #,##0.00_);_([$BRL]\ * \(#,##0.00\);_([$BRL]\ * &quot;-&quot;??_);_(@_)"/>
    </dxf>
    <dxf>
      <numFmt numFmtId="165" formatCode="0.0%"/>
      <border diagonalUp="0" diagonalDown="0">
        <left/>
        <right style="hair">
          <color indexed="64"/>
        </right>
        <top/>
        <bottom/>
      </border>
    </dxf>
    <dxf>
      <numFmt numFmtId="164" formatCode="_([$BRL]\ * #,##0.00_);_([$BRL]\ * \(#,##0.00\);_([$BRL]\ * &quot;-&quot;??_);_(@_)"/>
    </dxf>
    <dxf>
      <numFmt numFmtId="164" formatCode="_([$BRL]\ * #,##0.00_);_([$BRL]\ * \(#,##0.00\);_([$BRL]\ * &quot;-&quot;??_);_(@_)"/>
      <border diagonalUp="0" diagonalDown="0">
        <left style="dotted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/>
        <bottom/>
      </border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>
        <left/>
        <right style="dotted">
          <color indexed="64"/>
        </right>
        <top style="thin">
          <color theme="4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CB992B-10B4-419C-AE06-1704A799EAF7}" name="Table2" displayName="Table2" ref="C11:J14" totalsRowCount="1">
  <autoFilter ref="C11:J13" xr:uid="{CC31BAFD-733A-4CD7-B120-0E0DB43E48E7}"/>
  <tableColumns count="8">
    <tableColumn id="2" xr3:uid="{87CDDEFE-3745-4EFF-92C7-618B3DCC1754}" name="SPE" totalsRowLabel="Total" dataDxfId="45" totalsRowDxfId="44"/>
    <tableColumn id="3" xr3:uid="{53BA2A76-5DD9-40B6-8496-F749946A1225}" name="# Turbinas" totalsRowFunction="custom" dataDxfId="43" totalsRowDxfId="42">
      <totalsRowFormula>SUM(Table2['# Turbinas])</totalsRowFormula>
    </tableColumn>
    <tableColumn id="6" xr3:uid="{21F0B1DF-0234-426E-BECE-1347C6D88F87}" name="Percentual de Renda" dataDxfId="41" totalsRowDxfId="40"/>
    <tableColumn id="5" xr3:uid="{9C87E15B-A89B-47DD-95BC-673860961540}" name="Ao proprietário" totalsRowFunction="sum" dataDxfId="39" totalsRowDxfId="38">
      <calculatedColumnFormula>VLOOKUP(Table2[[#This Row],[SPE]],Table4[#All],3,FALSE)*Table2[[#This Row],[Percentual de Renda]]*Table2[[#This Row],['# Turbinas]]/VLOOKUP(Table2[[#This Row],[SPE]],Table4[#All],2,FALSE)</calculatedColumnFormula>
    </tableColumn>
    <tableColumn id="10" xr3:uid="{9F2897CA-77A3-4776-B64B-EEB4513DA884}" name="Alíquota" dataDxfId="37" totalsRowDxfId="36" dataCellStyle="Percent">
      <calculatedColumnFormula array="1">_xlfn.IFS(Table2[[#This Row],[Ao proprietário]]&lt;$D$28,$E$28,AND(Table2[[#This Row],[Ao proprietário]]&gt;$D$28,Table2[[#This Row],[Ao proprietário]]&lt;$D$29),$E$29,AND(Table2[[#This Row],[Ao proprietário]]&gt;$D$29,Table2[[#This Row],[Ao proprietário]]&lt;$D$30),$E$30,AND(Table2[[#This Row],[Ao proprietário]]&gt;$D$30,Table2[[#This Row],[Ao proprietário]]&lt;$D$31),$E$31,Table2[[#This Row],[Ao proprietário]]&gt;$D$31,$E$32)</calculatedColumnFormula>
    </tableColumn>
    <tableColumn id="9" xr3:uid="{3C9E7E44-B9C1-4788-8873-5854F2418913}" name="Dedução" totalsRowFunction="sum" dataDxfId="35" totalsRowDxfId="34">
      <calculatedColumnFormula>VLOOKUP(Table2[[#This Row],[Alíquota]],Table5[[#All],[Alíquota (%)]:[Parcela a Deduzir do IR]],2)</calculatedColumnFormula>
    </tableColumn>
    <tableColumn id="4" xr3:uid="{8072A744-01F5-4BD1-A9B5-0EDE97210056}" name="IR" totalsRowFunction="sum" dataDxfId="33" totalsRowDxfId="32">
      <calculatedColumnFormula>(Table2[[#This Row],[Ao proprietário]]*Table2[[#This Row],[Alíquota]])-Table2[[#This Row],[Dedução]]</calculatedColumnFormula>
    </tableColumn>
    <tableColumn id="8" xr3:uid="{BDFA890A-B279-4F3B-9199-4D79A6E88933}" name="Líquido" totalsRowFunction="sum" dataDxfId="31" totalsRowDxfId="30">
      <calculatedColumnFormula>IF(Table2[[#This Row],[IR]]&gt;$D$34,Table2[[#This Row],[Ao proprietário]]-Table2[[#This Row],[IR]],Table2[[#This Row],[Ao proprietário]])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C43751-17EC-4690-8FBC-B6B0B44D6E72}" name="Table4" displayName="Table4" ref="C5:G7" totalsRowShown="0" tableBorderDxfId="29">
  <autoFilter ref="C5:G7" xr:uid="{915D0D49-495D-4594-BA6C-E04BC85BFD70}"/>
  <tableColumns count="5">
    <tableColumn id="1" xr3:uid="{CA497168-63F4-43E3-9D04-548611628933}" name="SPE" dataDxfId="28"/>
    <tableColumn id="2" xr3:uid="{0D8890A5-7A8A-4630-8220-D36D67B1E6EC}" name="# Turbinas" dataDxfId="27"/>
    <tableColumn id="4" xr3:uid="{298F47DE-9754-4912-89F5-A41C4302525B}" name="Renda Mensal" dataDxfId="26"/>
    <tableColumn id="3" xr3:uid="{C995291B-0E86-42D0-8E60-D9963FDF3CC5}" name="Renda Actualizada" dataDxfId="25"/>
    <tableColumn id="5" xr3:uid="{9BF93B0F-8529-4791-8E58-7A0B5DEC27C6}" name="Ajuste" dataDxfId="24">
      <calculatedColumnFormula>Table4[[#This Row],[Renda Actualizada]]-Table4[[#This Row],[Renda Mensal]]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85535A-3847-4073-BA49-8F5D482BA58E}" name="Table5" displayName="Table5" ref="C26:F31" totalsRowShown="0">
  <autoFilter ref="C26:F31" xr:uid="{3DE1ACD1-35D7-4D05-AD4B-782449972486}"/>
  <tableColumns count="4">
    <tableColumn id="4" xr3:uid="{234A3757-1C1B-4012-9331-DEC9E9B3AA3B}" name="Base de Cálculo (RS)" dataDxfId="23" dataCellStyle="Comma"/>
    <tableColumn id="1" xr3:uid="{68A0B640-9748-4991-A0C0-5F67A55A0EBD}" name="Patamares" dataDxfId="22" dataCellStyle="Comma"/>
    <tableColumn id="2" xr3:uid="{FF6DD519-8816-4DB6-B861-2BEF989C939C}" name="Alíquota (%)" dataDxfId="21" dataCellStyle="Percent"/>
    <tableColumn id="3" xr3:uid="{C03788A9-5003-45FB-890E-326FDB3B0ED3}" name="Parcela a Deduzir do IR" dataDxfId="20" dataCellStyle="Comma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C5A062-F51C-44E6-860A-2FE026C59DC5}" name="Table25" displayName="Table25" ref="C19:L22" totalsRowCount="1">
  <autoFilter ref="C19:L21" xr:uid="{E3C5A062-F51C-44E6-860A-2FE026C59DC5}"/>
  <tableColumns count="10">
    <tableColumn id="2" xr3:uid="{638C52F7-822D-4F66-97F0-B54F7EDC38FC}" name="SPE" totalsRowLabel="Total" dataDxfId="19" totalsRowDxfId="18"/>
    <tableColumn id="3" xr3:uid="{F0CF260B-B200-405C-A677-C95D5DCA0A5C}" name="# Turbinas" totalsRowFunction="custom" dataDxfId="17" totalsRowDxfId="16">
      <totalsRowFormula>SUM(Table25['# Turbinas])</totalsRowFormula>
    </tableColumn>
    <tableColumn id="6" xr3:uid="{10057F15-4A19-4C84-A775-7051402EB782}" name="Percentual de Renda" dataDxfId="15" totalsRowDxfId="14"/>
    <tableColumn id="5" xr3:uid="{7D054B51-B860-4301-8F0B-D55D0308C552}" name="Ao proprietário" totalsRowFunction="sum" dataDxfId="13" totalsRowDxfId="12">
      <calculatedColumnFormula>VLOOKUP(Table25[[#This Row],[SPE]],Table4[#All],4,FALSE)*Table25[[#This Row],[Percentual de Renda]]*Table25[[#This Row],['# Turbinas]]/VLOOKUP(Table25[[#This Row],[SPE]],Table4[#All],2,FALSE)</calculatedColumnFormula>
    </tableColumn>
    <tableColumn id="1" xr3:uid="{9E731245-622E-4C8E-B38D-DD96699DBF99}" name="Ajuste Bruto" totalsRowFunction="custom" dataDxfId="11" totalsRowDxfId="10">
      <calculatedColumnFormula>Table25[[#This Row],[Ao proprietário]]-F12</calculatedColumnFormula>
      <totalsRowFormula>SUM(Table25[Ajuste Bruto])</totalsRowFormula>
    </tableColumn>
    <tableColumn id="10" xr3:uid="{81CCEE3D-FE5C-4D71-9AA6-D9DB2EA62AAD}" name="Alíquota" dataDxfId="9" totalsRowDxfId="8" dataCellStyle="Percent">
      <calculatedColumnFormula array="1">_xlfn.IFS(Table25[[#This Row],[Ao proprietário]]&lt;$D$27,$E$27,AND(Table25[[#This Row],[Ao proprietário]]&gt;$D$27,Table25[[#This Row],[Ao proprietário]]&lt;$D$28),$E$28,AND(Table25[[#This Row],[Ao proprietário]]&gt;$D$28,Table25[[#This Row],[Ao proprietário]]&lt;$D$29),$E$29,AND(Table25[[#This Row],[Ao proprietário]]&gt;$D$29,Table25[[#This Row],[Ao proprietário]]&lt;$D$30),$E$30,Table25[[#This Row],[Ao proprietário]]&gt;$D$30,$E$31)</calculatedColumnFormula>
    </tableColumn>
    <tableColumn id="9" xr3:uid="{ED01B4D2-74A5-4F55-8DBD-6151466DB774}" name="Dedução" totalsRowFunction="sum" dataDxfId="7" totalsRowDxfId="6">
      <calculatedColumnFormula>VLOOKUP(Table25[[#This Row],[Alíquota]],Table5[[#All],[Alíquota (%)]:[Parcela a Deduzir do IR]],2)</calculatedColumnFormula>
    </tableColumn>
    <tableColumn id="4" xr3:uid="{6206CA69-3B80-41F2-B542-141B70026E9E}" name="IR" totalsRowFunction="sum" dataDxfId="5" totalsRowDxfId="4">
      <calculatedColumnFormula>(Table25[[#This Row],[Ao proprietário]]*Table25[[#This Row],[Alíquota]])-Table25[[#This Row],[Dedução]]</calculatedColumnFormula>
    </tableColumn>
    <tableColumn id="8" xr3:uid="{43112E02-427B-4512-9D57-A63DC492A734}" name="Líquido" totalsRowFunction="sum" dataDxfId="3" totalsRowDxfId="2">
      <calculatedColumnFormula>IF(Table25[[#This Row],[IR]]&gt;$D$33,Table25[[#This Row],[Ao proprietário]]-Table25[[#This Row],[IR]],Table25[[#This Row],[Ao proprietário]])</calculatedColumnFormula>
    </tableColumn>
    <tableColumn id="7" xr3:uid="{1BEAC9E9-80E7-4C14-9D36-6035A7B697A1}" name="Ajuste Líquido (*)" totalsRowFunction="custom" dataDxfId="1" totalsRowDxfId="0">
      <calculatedColumnFormula>Table25[[#This Row],[Líquido]]-J12</calculatedColumnFormula>
      <totalsRowFormula>SUM(Table25[Ajuste Líquido (*)])</totalsRow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FCC5-0E19-4258-B83F-63559E5E6877}">
  <sheetPr codeName="Sheet2"/>
  <dimension ref="B2:N33"/>
  <sheetViews>
    <sheetView showGridLines="0" tabSelected="1" topLeftCell="D1" zoomScale="115" zoomScaleNormal="115" workbookViewId="0">
      <selection activeCell="E2" sqref="E2"/>
    </sheetView>
  </sheetViews>
  <sheetFormatPr defaultRowHeight="15" x14ac:dyDescent="0.25"/>
  <cols>
    <col min="1" max="2" width="3" customWidth="1"/>
    <col min="3" max="3" width="30" bestFit="1" customWidth="1"/>
    <col min="4" max="5" width="24.42578125" customWidth="1"/>
    <col min="6" max="6" width="26" bestFit="1" customWidth="1"/>
    <col min="7" max="7" width="24.140625" customWidth="1"/>
    <col min="8" max="12" width="19.5703125" customWidth="1"/>
    <col min="13" max="13" width="4" customWidth="1"/>
  </cols>
  <sheetData>
    <row r="2" spans="2:11" x14ac:dyDescent="0.25">
      <c r="C2" s="23"/>
      <c r="D2" s="1" t="s">
        <v>0</v>
      </c>
      <c r="E2" s="1" t="s">
        <v>274</v>
      </c>
    </row>
    <row r="3" spans="2:11" x14ac:dyDescent="0.25">
      <c r="C3" s="2" t="s">
        <v>2</v>
      </c>
      <c r="D3" s="3">
        <v>45047</v>
      </c>
      <c r="E3" s="3">
        <f>EDATE(D3,1)</f>
        <v>45078</v>
      </c>
    </row>
    <row r="5" spans="2:11" x14ac:dyDescent="0.25">
      <c r="C5" s="4" t="s">
        <v>3</v>
      </c>
      <c r="D5" s="5" t="s">
        <v>4</v>
      </c>
      <c r="E5" s="6" t="s">
        <v>5</v>
      </c>
      <c r="F5" s="44" t="s">
        <v>6</v>
      </c>
      <c r="G5" s="45" t="s">
        <v>7</v>
      </c>
    </row>
    <row r="6" spans="2:11" x14ac:dyDescent="0.25">
      <c r="C6" s="7" t="s">
        <v>8</v>
      </c>
      <c r="D6" s="8">
        <v>8</v>
      </c>
      <c r="E6" s="9">
        <v>1472906.1400000001</v>
      </c>
      <c r="F6" s="46">
        <f>'Faturamento OB1'!J59</f>
        <v>1298905.8100125343</v>
      </c>
      <c r="G6" s="47">
        <f>Table4[[#This Row],[Renda Actualizada]]-Table4[[#This Row],[Renda Mensal]]</f>
        <v>-174000.32998746587</v>
      </c>
    </row>
    <row r="7" spans="2:11" x14ac:dyDescent="0.25">
      <c r="C7" s="7" t="s">
        <v>9</v>
      </c>
      <c r="D7" s="8">
        <v>8</v>
      </c>
      <c r="E7" s="9">
        <v>998434.93304000015</v>
      </c>
      <c r="F7" s="46">
        <f>'Faturamento OB2'!J34</f>
        <v>929699.9830400002</v>
      </c>
      <c r="G7" s="47">
        <f>Table4[[#This Row],[Renda Actualizada]]-Table4[[#This Row],[Renda Mensal]]</f>
        <v>-68734.949999999953</v>
      </c>
    </row>
    <row r="8" spans="2:11" ht="15.75" thickBot="1" x14ac:dyDescent="0.3">
      <c r="C8" s="55"/>
      <c r="D8" s="10"/>
      <c r="E8" s="10"/>
      <c r="F8" s="10"/>
      <c r="G8" s="10"/>
      <c r="H8" s="10"/>
    </row>
    <row r="9" spans="2:11" x14ac:dyDescent="0.25">
      <c r="B9" s="80" t="s">
        <v>10</v>
      </c>
      <c r="C9" s="81"/>
      <c r="D9" s="81"/>
      <c r="E9" s="81"/>
      <c r="F9" s="81"/>
      <c r="G9" s="81"/>
      <c r="H9" s="81"/>
      <c r="I9" s="81"/>
      <c r="J9" s="81"/>
      <c r="K9" s="82"/>
    </row>
    <row r="10" spans="2:11" x14ac:dyDescent="0.25">
      <c r="B10" s="57"/>
      <c r="D10" s="10"/>
      <c r="E10" s="10"/>
      <c r="K10" s="58"/>
    </row>
    <row r="11" spans="2:11" x14ac:dyDescent="0.25">
      <c r="B11" s="57"/>
      <c r="C11" s="4" t="s">
        <v>3</v>
      </c>
      <c r="D11" s="10" t="s">
        <v>4</v>
      </c>
      <c r="E11" s="10" t="s">
        <v>11</v>
      </c>
      <c r="F11" s="10" t="s">
        <v>12</v>
      </c>
      <c r="G11" s="10" t="s">
        <v>13</v>
      </c>
      <c r="H11" s="10" t="s">
        <v>14</v>
      </c>
      <c r="I11" s="6" t="s">
        <v>15</v>
      </c>
      <c r="J11" s="10" t="s">
        <v>16</v>
      </c>
      <c r="K11" s="58"/>
    </row>
    <row r="12" spans="2:11" x14ac:dyDescent="0.25">
      <c r="B12" s="57"/>
      <c r="C12" s="7" t="s">
        <v>8</v>
      </c>
      <c r="D12" s="11">
        <v>1</v>
      </c>
      <c r="E12" s="12">
        <v>1.4999999999999999E-2</v>
      </c>
      <c r="F12" s="9">
        <f>VLOOKUP(Table2[[#This Row],[SPE]],Table4[#All],3,FALSE)*Table2[[#This Row],[Percentual de Renda]]*Table2[[#This Row],['# Turbinas]]/VLOOKUP(Table2[[#This Row],[SPE]],Table4[#All],2,FALSE)</f>
        <v>2761.6990125000002</v>
      </c>
      <c r="G12" s="13" cm="1">
        <f t="array" ref="G12">_xlfn.IFS(Table2[[#This Row],[Ao proprietário]]&lt;$D$27,$E$27,AND(Table2[[#This Row],[Ao proprietário]]&gt;$D$27,Table2[[#This Row],[Ao proprietário]]&lt;$D$28),$E$28,AND(Table2[[#This Row],[Ao proprietário]]&gt;$D$28,Table2[[#This Row],[Ao proprietário]]&lt;$D$29),$E$29,AND(Table2[[#This Row],[Ao proprietário]]&gt;$D$29,Table2[[#This Row],[Ao proprietário]]&lt;$D$30),$E$30,Table2[[#This Row],[Ao proprietário]]&gt;$D$30,$E$31)</f>
        <v>7.4999999999999997E-2</v>
      </c>
      <c r="H12" s="14">
        <f>VLOOKUP(Table2[[#This Row],[Alíquota]],Table5[[#All],[Alíquota (%)]:[Parcela a Deduzir do IR]],2)</f>
        <v>158.4</v>
      </c>
      <c r="I12" s="14">
        <f>(Table2[[#This Row],[Ao proprietário]]*Table2[[#This Row],[Alíquota]])-Table2[[#This Row],[Dedução]]</f>
        <v>48.727425937500016</v>
      </c>
      <c r="J12" s="54">
        <f>IF(Table2[[#This Row],[IR]]&gt;$D$33,Table2[[#This Row],[Ao proprietário]]-Table2[[#This Row],[IR]],Table2[[#This Row],[Ao proprietário]])</f>
        <v>2712.9715865625003</v>
      </c>
      <c r="K12" s="58"/>
    </row>
    <row r="13" spans="2:11" x14ac:dyDescent="0.25">
      <c r="B13" s="57"/>
      <c r="C13" s="7" t="s">
        <v>9</v>
      </c>
      <c r="D13" s="11">
        <v>2</v>
      </c>
      <c r="E13" s="12">
        <v>1.4999999999999999E-2</v>
      </c>
      <c r="F13" s="9">
        <f>VLOOKUP(Table2[[#This Row],[SPE]],Table4[#All],3,FALSE)*Table2[[#This Row],[Percentual de Renda]]*Table2[[#This Row],['# Turbinas]]/VLOOKUP(Table2[[#This Row],[SPE]],Table4[#All],2,FALSE)</f>
        <v>3744.1309989000006</v>
      </c>
      <c r="G13" s="13" cm="1">
        <f t="array" ref="G13">_xlfn.IFS(Table2[[#This Row],[Ao proprietário]]&lt;$D$27,$E$27,AND(Table2[[#This Row],[Ao proprietário]]&gt;$D$27,Table2[[#This Row],[Ao proprietário]]&lt;$D$28),$E$28,AND(Table2[[#This Row],[Ao proprietário]]&gt;$D$28,Table2[[#This Row],[Ao proprietário]]&lt;$D$29),$E$29,AND(Table2[[#This Row],[Ao proprietário]]&gt;$D$29,Table2[[#This Row],[Ao proprietário]]&lt;$D$30),$E$30,Table2[[#This Row],[Ao proprietário]]&gt;$D$30,$E$31)</f>
        <v>0.15</v>
      </c>
      <c r="H13" s="14">
        <f>VLOOKUP(Table2[[#This Row],[Alíquota]],Table5[[#All],[Alíquota (%)]:[Parcela a Deduzir do IR]],2)</f>
        <v>370.4</v>
      </c>
      <c r="I13" s="14">
        <f>(Table2[[#This Row],[Ao proprietário]]*Table2[[#This Row],[Alíquota]])-Table2[[#This Row],[Dedução]]</f>
        <v>191.21964983500004</v>
      </c>
      <c r="J13" s="54">
        <f>IF(Table2[[#This Row],[IR]]&gt;$D$33,Table2[[#This Row],[Ao proprietário]]-Table2[[#This Row],[IR]],Table2[[#This Row],[Ao proprietário]])</f>
        <v>3552.9113490650006</v>
      </c>
      <c r="K13" s="58"/>
    </row>
    <row r="14" spans="2:11" x14ac:dyDescent="0.25">
      <c r="B14" s="57"/>
      <c r="C14" s="55" t="s">
        <v>17</v>
      </c>
      <c r="D14" s="10">
        <f>SUM(Table2['# Turbinas])</f>
        <v>3</v>
      </c>
      <c r="E14" s="10"/>
      <c r="F14" s="54">
        <f>SUBTOTAL(109,Table2[Ao proprietário])</f>
        <v>6505.8300114000012</v>
      </c>
      <c r="G14" s="54"/>
      <c r="H14" s="54">
        <f>SUBTOTAL(109,Table2[Dedução])</f>
        <v>528.79999999999995</v>
      </c>
      <c r="I14" s="56">
        <f>SUBTOTAL(109,Table2[IR])</f>
        <v>239.94707577250006</v>
      </c>
      <c r="J14" s="54">
        <f>SUBTOTAL(109,Table2[Líquido])</f>
        <v>6265.882935627501</v>
      </c>
      <c r="K14" s="58"/>
    </row>
    <row r="15" spans="2:11" ht="15.75" thickBot="1" x14ac:dyDescent="0.3">
      <c r="B15" s="59"/>
      <c r="C15" s="62"/>
      <c r="D15" s="63"/>
      <c r="E15" s="63"/>
      <c r="F15" s="64"/>
      <c r="G15" s="64"/>
      <c r="H15" s="64"/>
      <c r="I15" s="65"/>
      <c r="J15" s="64"/>
      <c r="K15" s="61"/>
    </row>
    <row r="16" spans="2:11" ht="15.75" thickBot="1" x14ac:dyDescent="0.3"/>
    <row r="17" spans="2:14" x14ac:dyDescent="0.25">
      <c r="B17" s="77" t="s">
        <v>18</v>
      </c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9"/>
    </row>
    <row r="18" spans="2:14" x14ac:dyDescent="0.25">
      <c r="B18" s="57"/>
      <c r="D18" s="10"/>
      <c r="E18" s="10"/>
      <c r="M18" s="58"/>
    </row>
    <row r="19" spans="2:14" x14ac:dyDescent="0.25">
      <c r="B19" s="57"/>
      <c r="C19" s="4" t="s">
        <v>3</v>
      </c>
      <c r="D19" s="10" t="s">
        <v>4</v>
      </c>
      <c r="E19" s="10" t="s">
        <v>11</v>
      </c>
      <c r="F19" s="10" t="s">
        <v>12</v>
      </c>
      <c r="G19" s="44" t="s">
        <v>19</v>
      </c>
      <c r="H19" s="10" t="s">
        <v>13</v>
      </c>
      <c r="I19" s="10" t="s">
        <v>14</v>
      </c>
      <c r="J19" s="6" t="s">
        <v>15</v>
      </c>
      <c r="K19" s="10" t="s">
        <v>16</v>
      </c>
      <c r="L19" s="44" t="s">
        <v>20</v>
      </c>
      <c r="M19" s="58"/>
      <c r="N19" s="73" t="s">
        <v>21</v>
      </c>
    </row>
    <row r="20" spans="2:14" x14ac:dyDescent="0.25">
      <c r="B20" s="57"/>
      <c r="C20" s="7" t="s">
        <v>8</v>
      </c>
      <c r="D20" s="11">
        <v>1</v>
      </c>
      <c r="E20" s="12">
        <v>1.4999999999999999E-2</v>
      </c>
      <c r="F20" s="9">
        <f>VLOOKUP(Table25[[#This Row],[SPE]],Table4[#All],4,FALSE)*Table25[[#This Row],[Percentual de Renda]]*Table25[[#This Row],['# Turbinas]]/VLOOKUP(Table25[[#This Row],[SPE]],Table4[#All],2,FALSE)</f>
        <v>2435.4483937735017</v>
      </c>
      <c r="G20" s="46">
        <f>Table25[[#This Row],[Ao proprietário]]-F12</f>
        <v>-326.25061872649849</v>
      </c>
      <c r="H20" s="13" cm="1">
        <f t="array" ref="H20">_xlfn.IFS(Table25[[#This Row],[Ao proprietário]]&lt;$D$27,$E$27,AND(Table25[[#This Row],[Ao proprietário]]&gt;$D$27,Table25[[#This Row],[Ao proprietário]]&lt;$D$28),$E$28,AND(Table25[[#This Row],[Ao proprietário]]&gt;$D$28,Table25[[#This Row],[Ao proprietário]]&lt;$D$29),$E$29,AND(Table25[[#This Row],[Ao proprietário]]&gt;$D$29,Table25[[#This Row],[Ao proprietário]]&lt;$D$30),$E$30,Table25[[#This Row],[Ao proprietário]]&gt;$D$30,$E$31)</f>
        <v>7.4999999999999997E-2</v>
      </c>
      <c r="I20" s="14">
        <f>VLOOKUP(Table25[[#This Row],[Alíquota]],Table5[[#All],[Alíquota (%)]:[Parcela a Deduzir do IR]],2)</f>
        <v>158.4</v>
      </c>
      <c r="J20" s="14">
        <f>(Table25[[#This Row],[Ao proprietário]]*Table25[[#This Row],[Alíquota]])-Table25[[#This Row],[Dedução]]</f>
        <v>24.258629533012623</v>
      </c>
      <c r="K20" s="54">
        <f>IF(Table25[[#This Row],[IR]]&gt;$D$33,Table25[[#This Row],[Ao proprietário]]-Table25[[#This Row],[IR]],Table25[[#This Row],[Ao proprietário]])</f>
        <v>2411.1897642404892</v>
      </c>
      <c r="L20" s="71">
        <f>Table25[[#This Row],[Líquido]]-J12</f>
        <v>-301.78182232201107</v>
      </c>
      <c r="M20" s="58"/>
    </row>
    <row r="21" spans="2:14" x14ac:dyDescent="0.25">
      <c r="B21" s="57"/>
      <c r="C21" s="7" t="s">
        <v>9</v>
      </c>
      <c r="D21" s="11">
        <v>2</v>
      </c>
      <c r="E21" s="12">
        <v>1.4999999999999999E-2</v>
      </c>
      <c r="F21" s="9">
        <f>VLOOKUP(Table25[[#This Row],[SPE]],Table4[#All],4,FALSE)*Table25[[#This Row],[Percentual de Renda]]*Table25[[#This Row],['# Turbinas]]/VLOOKUP(Table25[[#This Row],[SPE]],Table4[#All],2,FALSE)</f>
        <v>3486.3749364000005</v>
      </c>
      <c r="G21" s="46">
        <f>Table25[[#This Row],[Ao proprietário]]-F13</f>
        <v>-257.7560625000001</v>
      </c>
      <c r="H21" s="13" cm="1">
        <f t="array" ref="H21">_xlfn.IFS(Table25[[#This Row],[Ao proprietário]]&lt;$D$27,$E$27,AND(Table25[[#This Row],[Ao proprietário]]&gt;$D$27,Table25[[#This Row],[Ao proprietário]]&lt;$D$28),$E$28,AND(Table25[[#This Row],[Ao proprietário]]&gt;$D$28,Table25[[#This Row],[Ao proprietário]]&lt;$D$29),$E$29,AND(Table25[[#This Row],[Ao proprietário]]&gt;$D$29,Table25[[#This Row],[Ao proprietário]]&lt;$D$30),$E$30,Table25[[#This Row],[Ao proprietário]]&gt;$D$30,$E$31)</f>
        <v>0.15</v>
      </c>
      <c r="I21" s="14">
        <f>VLOOKUP(Table25[[#This Row],[Alíquota]],Table5[[#All],[Alíquota (%)]:[Parcela a Deduzir do IR]],2)</f>
        <v>370.4</v>
      </c>
      <c r="J21" s="14">
        <f>(Table25[[#This Row],[Ao proprietário]]*Table25[[#This Row],[Alíquota]])-Table25[[#This Row],[Dedução]]</f>
        <v>152.55624046000003</v>
      </c>
      <c r="K21" s="54">
        <f>IF(Table25[[#This Row],[IR]]&gt;$D$33,Table25[[#This Row],[Ao proprietário]]-Table25[[#This Row],[IR]],Table25[[#This Row],[Ao proprietário]])</f>
        <v>3333.8186959400005</v>
      </c>
      <c r="L21" s="71">
        <f>Table25[[#This Row],[Líquido]]-J13</f>
        <v>-219.0926531250002</v>
      </c>
      <c r="M21" s="58"/>
    </row>
    <row r="22" spans="2:14" x14ac:dyDescent="0.25">
      <c r="B22" s="57"/>
      <c r="C22" s="55" t="s">
        <v>17</v>
      </c>
      <c r="D22" s="10">
        <f>SUM(Table25['# Turbinas])</f>
        <v>3</v>
      </c>
      <c r="E22" s="10"/>
      <c r="F22" s="54">
        <f>SUBTOTAL(109,Table25[Ao proprietário])</f>
        <v>5921.8233301735017</v>
      </c>
      <c r="G22" s="47">
        <f>SUM(Table25[Ajuste Bruto])</f>
        <v>-584.00668122649859</v>
      </c>
      <c r="H22" s="54"/>
      <c r="I22" s="54">
        <f>SUBTOTAL(109,Table25[Dedução])</f>
        <v>528.79999999999995</v>
      </c>
      <c r="J22" s="56">
        <f>SUBTOTAL(109,Table25[IR])</f>
        <v>176.81486999301265</v>
      </c>
      <c r="K22" s="54">
        <f>SUBTOTAL(109,Table25[Líquido])</f>
        <v>5745.0084601804901</v>
      </c>
      <c r="L22" s="72">
        <f>SUM(Table25[Ajuste Líquido (*)])</f>
        <v>-520.87447544701126</v>
      </c>
      <c r="M22" s="58"/>
    </row>
    <row r="23" spans="2:14" ht="15.75" thickBot="1" x14ac:dyDescent="0.3">
      <c r="B23" s="59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1"/>
    </row>
    <row r="25" spans="2:14" x14ac:dyDescent="0.25">
      <c r="C25" s="15" t="s">
        <v>22</v>
      </c>
    </row>
    <row r="26" spans="2:14" x14ac:dyDescent="0.25">
      <c r="C26" s="16" t="s">
        <v>23</v>
      </c>
      <c r="D26" s="16" t="s">
        <v>24</v>
      </c>
      <c r="E26" s="10" t="s">
        <v>25</v>
      </c>
      <c r="F26" s="10" t="s">
        <v>26</v>
      </c>
    </row>
    <row r="27" spans="2:14" x14ac:dyDescent="0.25">
      <c r="C27" s="17" t="s">
        <v>27</v>
      </c>
      <c r="D27" s="9">
        <v>2112</v>
      </c>
      <c r="E27" s="18">
        <v>0</v>
      </c>
      <c r="F27" s="9">
        <v>0</v>
      </c>
    </row>
    <row r="28" spans="2:14" x14ac:dyDescent="0.25">
      <c r="C28" s="17" t="s">
        <v>28</v>
      </c>
      <c r="D28" s="9">
        <v>2826.65</v>
      </c>
      <c r="E28" s="18">
        <v>7.4999999999999997E-2</v>
      </c>
      <c r="F28" s="9">
        <v>158.4</v>
      </c>
    </row>
    <row r="29" spans="2:14" x14ac:dyDescent="0.25">
      <c r="C29" s="17" t="s">
        <v>29</v>
      </c>
      <c r="D29" s="9">
        <v>3751.05</v>
      </c>
      <c r="E29" s="18">
        <v>0.15</v>
      </c>
      <c r="F29" s="9">
        <v>370.4</v>
      </c>
    </row>
    <row r="30" spans="2:14" x14ac:dyDescent="0.25">
      <c r="C30" s="17" t="s">
        <v>30</v>
      </c>
      <c r="D30" s="9">
        <v>4664.68</v>
      </c>
      <c r="E30" s="18">
        <v>0.22500000000000001</v>
      </c>
      <c r="F30" s="9">
        <v>651.73</v>
      </c>
    </row>
    <row r="31" spans="2:14" x14ac:dyDescent="0.25">
      <c r="C31" s="19" t="s">
        <v>31</v>
      </c>
      <c r="D31" s="20" t="s">
        <v>32</v>
      </c>
      <c r="E31" s="18">
        <v>0.27500000000000002</v>
      </c>
      <c r="F31" s="9">
        <v>884.96</v>
      </c>
    </row>
    <row r="33" spans="3:4" x14ac:dyDescent="0.25">
      <c r="C33" s="21" t="s">
        <v>33</v>
      </c>
      <c r="D33" s="22">
        <v>10</v>
      </c>
    </row>
  </sheetData>
  <mergeCells count="2">
    <mergeCell ref="B17:M17"/>
    <mergeCell ref="B9:K9"/>
  </mergeCells>
  <pageMargins left="0.7" right="0.7" top="0.75" bottom="0.75" header="0.3" footer="0.3"/>
  <pageSetup orientation="portrait" r:id="rId1"/>
  <ignoredErrors>
    <ignoredError sqref="G12:G13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1DFC-1E28-4462-918A-745DC5FA2890}">
  <dimension ref="A1:K59"/>
  <sheetViews>
    <sheetView showGridLines="0" topLeftCell="D1" zoomScale="115" zoomScaleNormal="115" workbookViewId="0">
      <selection activeCell="O41" sqref="O41"/>
    </sheetView>
  </sheetViews>
  <sheetFormatPr defaultColWidth="15" defaultRowHeight="12.75" x14ac:dyDescent="0.2"/>
  <cols>
    <col min="1" max="1" width="17" style="25" customWidth="1"/>
    <col min="2" max="2" width="14.5703125" style="25" customWidth="1"/>
    <col min="3" max="3" width="61.5703125" style="25" customWidth="1"/>
    <col min="4" max="4" width="20" style="25" customWidth="1"/>
    <col min="5" max="5" width="35.5703125" style="25" customWidth="1"/>
    <col min="6" max="6" width="28.85546875" style="25" customWidth="1"/>
    <col min="7" max="7" width="8.5703125" style="25" customWidth="1"/>
    <col min="8" max="8" width="14.42578125" style="25" bestFit="1" customWidth="1"/>
    <col min="9" max="9" width="13.5703125" style="25" customWidth="1"/>
    <col min="10" max="10" width="20.42578125" style="25" bestFit="1" customWidth="1"/>
    <col min="11" max="11" width="32.42578125" style="25" customWidth="1"/>
    <col min="12" max="16384" width="15" style="25"/>
  </cols>
  <sheetData>
    <row r="1" spans="1:11" x14ac:dyDescent="0.2">
      <c r="A1" s="24" t="s">
        <v>34</v>
      </c>
      <c r="B1" s="24"/>
      <c r="C1" s="24"/>
      <c r="D1" s="24"/>
      <c r="E1" s="24"/>
      <c r="F1" s="24"/>
      <c r="G1" s="24"/>
      <c r="H1" s="24"/>
      <c r="I1" s="24"/>
      <c r="J1" s="24"/>
    </row>
    <row r="2" spans="1:11" x14ac:dyDescent="0.2">
      <c r="A2" s="26" t="s">
        <v>35</v>
      </c>
      <c r="B2" s="26" t="s">
        <v>1</v>
      </c>
      <c r="C2" s="26" t="s">
        <v>36</v>
      </c>
      <c r="D2" s="26" t="s">
        <v>37</v>
      </c>
      <c r="E2" s="26" t="s">
        <v>38</v>
      </c>
      <c r="F2" s="26" t="s">
        <v>39</v>
      </c>
      <c r="G2" s="26" t="s">
        <v>40</v>
      </c>
      <c r="H2" s="27" t="s">
        <v>41</v>
      </c>
      <c r="I2" s="27" t="s">
        <v>42</v>
      </c>
      <c r="J2" s="27" t="s">
        <v>43</v>
      </c>
    </row>
    <row r="3" spans="1:11" x14ac:dyDescent="0.2">
      <c r="A3" s="27" t="s">
        <v>44</v>
      </c>
      <c r="B3" s="27" t="s">
        <v>45</v>
      </c>
      <c r="C3" s="27" t="s">
        <v>46</v>
      </c>
      <c r="D3" s="27" t="s">
        <v>47</v>
      </c>
      <c r="E3" s="27" t="s">
        <v>48</v>
      </c>
      <c r="F3" s="27" t="s">
        <v>49</v>
      </c>
      <c r="G3" s="27" t="s">
        <v>50</v>
      </c>
      <c r="H3" s="28">
        <v>226.76300000000001</v>
      </c>
      <c r="I3" s="29">
        <f>J3/H3</f>
        <v>133.4600000881978</v>
      </c>
      <c r="J3" s="28">
        <v>30263.79</v>
      </c>
      <c r="K3" s="30"/>
    </row>
    <row r="4" spans="1:11" x14ac:dyDescent="0.2">
      <c r="A4" s="27" t="s">
        <v>44</v>
      </c>
      <c r="B4" s="27" t="s">
        <v>51</v>
      </c>
      <c r="C4" s="27" t="s">
        <v>52</v>
      </c>
      <c r="D4" s="27" t="s">
        <v>53</v>
      </c>
      <c r="E4" s="27" t="s">
        <v>54</v>
      </c>
      <c r="F4" s="27" t="s">
        <v>49</v>
      </c>
      <c r="G4" s="27" t="s">
        <v>50</v>
      </c>
      <c r="H4" s="28">
        <v>61.417000000000002</v>
      </c>
      <c r="I4" s="29">
        <f t="shared" ref="I4:I55" si="0">J4/H4</f>
        <v>133.459954084374</v>
      </c>
      <c r="J4" s="28">
        <v>8196.7099999999991</v>
      </c>
      <c r="K4" s="30"/>
    </row>
    <row r="5" spans="1:11" x14ac:dyDescent="0.2">
      <c r="A5" s="27" t="s">
        <v>44</v>
      </c>
      <c r="B5" s="27" t="s">
        <v>55</v>
      </c>
      <c r="C5" s="27" t="s">
        <v>56</v>
      </c>
      <c r="D5" s="27" t="s">
        <v>57</v>
      </c>
      <c r="E5" s="27" t="s">
        <v>58</v>
      </c>
      <c r="F5" s="27" t="s">
        <v>49</v>
      </c>
      <c r="G5" s="27" t="s">
        <v>50</v>
      </c>
      <c r="H5" s="28">
        <v>125.197</v>
      </c>
      <c r="I5" s="29">
        <f t="shared" si="0"/>
        <v>133.45998706039282</v>
      </c>
      <c r="J5" s="28">
        <v>16708.79</v>
      </c>
      <c r="K5" s="30"/>
    </row>
    <row r="6" spans="1:11" x14ac:dyDescent="0.2">
      <c r="A6" s="27" t="s">
        <v>44</v>
      </c>
      <c r="B6" s="27" t="s">
        <v>59</v>
      </c>
      <c r="C6" s="27" t="s">
        <v>60</v>
      </c>
      <c r="D6" s="27" t="s">
        <v>61</v>
      </c>
      <c r="E6" s="27" t="s">
        <v>62</v>
      </c>
      <c r="F6" s="27" t="s">
        <v>49</v>
      </c>
      <c r="G6" s="27" t="s">
        <v>50</v>
      </c>
      <c r="H6" s="28">
        <v>47.739699999999999</v>
      </c>
      <c r="I6" s="29">
        <f t="shared" si="0"/>
        <v>133.4599924172125</v>
      </c>
      <c r="J6" s="28">
        <v>6371.34</v>
      </c>
      <c r="K6" s="30"/>
    </row>
    <row r="7" spans="1:11" x14ac:dyDescent="0.2">
      <c r="A7" s="27" t="s">
        <v>44</v>
      </c>
      <c r="B7" s="27" t="s">
        <v>63</v>
      </c>
      <c r="C7" s="27" t="s">
        <v>64</v>
      </c>
      <c r="D7" s="27" t="s">
        <v>65</v>
      </c>
      <c r="E7" s="27" t="s">
        <v>66</v>
      </c>
      <c r="F7" s="27" t="s">
        <v>49</v>
      </c>
      <c r="G7" s="27" t="s">
        <v>50</v>
      </c>
      <c r="H7" s="28">
        <v>64.448700000000002</v>
      </c>
      <c r="I7" s="29">
        <f t="shared" si="0"/>
        <v>133.45994566220884</v>
      </c>
      <c r="J7" s="28">
        <v>8601.32</v>
      </c>
      <c r="K7" s="30"/>
    </row>
    <row r="8" spans="1:11" x14ac:dyDescent="0.2">
      <c r="A8" s="27" t="s">
        <v>44</v>
      </c>
      <c r="B8" s="27" t="s">
        <v>67</v>
      </c>
      <c r="C8" s="27" t="s">
        <v>68</v>
      </c>
      <c r="D8" s="27" t="s">
        <v>69</v>
      </c>
      <c r="E8" s="27" t="s">
        <v>70</v>
      </c>
      <c r="F8" s="27" t="s">
        <v>49</v>
      </c>
      <c r="G8" s="27" t="s">
        <v>50</v>
      </c>
      <c r="H8" s="28">
        <v>172.10130000000001</v>
      </c>
      <c r="I8" s="29">
        <f t="shared" si="0"/>
        <v>133.46000291688674</v>
      </c>
      <c r="J8" s="28">
        <v>22968.639999999999</v>
      </c>
      <c r="K8" s="30"/>
    </row>
    <row r="9" spans="1:11" x14ac:dyDescent="0.2">
      <c r="A9" s="27" t="s">
        <v>44</v>
      </c>
      <c r="B9" s="27" t="s">
        <v>71</v>
      </c>
      <c r="C9" s="27" t="s">
        <v>72</v>
      </c>
      <c r="D9" s="27" t="s">
        <v>73</v>
      </c>
      <c r="E9" s="27" t="s">
        <v>74</v>
      </c>
      <c r="F9" s="27" t="s">
        <v>49</v>
      </c>
      <c r="G9" s="27" t="s">
        <v>50</v>
      </c>
      <c r="H9" s="28">
        <v>112.4507</v>
      </c>
      <c r="I9" s="29">
        <f t="shared" si="0"/>
        <v>133.45999624724436</v>
      </c>
      <c r="J9" s="28">
        <v>15007.67</v>
      </c>
      <c r="K9" s="30"/>
    </row>
    <row r="10" spans="1:11" x14ac:dyDescent="0.2">
      <c r="A10" s="27" t="s">
        <v>44</v>
      </c>
      <c r="B10" s="27" t="s">
        <v>75</v>
      </c>
      <c r="C10" s="27" t="s">
        <v>76</v>
      </c>
      <c r="D10" s="27" t="s">
        <v>77</v>
      </c>
      <c r="E10" s="27" t="s">
        <v>78</v>
      </c>
      <c r="F10" s="27" t="s">
        <v>49</v>
      </c>
      <c r="G10" s="27" t="s">
        <v>50</v>
      </c>
      <c r="H10" s="28">
        <v>28.643699999999999</v>
      </c>
      <c r="I10" s="29">
        <f t="shared" si="0"/>
        <v>133.45971365431143</v>
      </c>
      <c r="J10" s="28">
        <v>3822.78</v>
      </c>
      <c r="K10" s="30"/>
    </row>
    <row r="11" spans="1:11" x14ac:dyDescent="0.2">
      <c r="A11" s="27" t="s">
        <v>44</v>
      </c>
      <c r="B11" s="27" t="s">
        <v>79</v>
      </c>
      <c r="C11" s="27" t="s">
        <v>80</v>
      </c>
      <c r="D11" s="27" t="s">
        <v>81</v>
      </c>
      <c r="E11" s="27" t="s">
        <v>82</v>
      </c>
      <c r="F11" s="27" t="s">
        <v>49</v>
      </c>
      <c r="G11" s="27" t="s">
        <v>50</v>
      </c>
      <c r="H11" s="28">
        <v>127.91800000000001</v>
      </c>
      <c r="I11" s="29">
        <f t="shared" si="0"/>
        <v>133.46002908113007</v>
      </c>
      <c r="J11" s="28">
        <v>17071.939999999999</v>
      </c>
      <c r="K11" s="30"/>
    </row>
    <row r="12" spans="1:11" x14ac:dyDescent="0.2">
      <c r="A12" s="27" t="s">
        <v>44</v>
      </c>
      <c r="B12" s="27" t="s">
        <v>83</v>
      </c>
      <c r="C12" s="27" t="s">
        <v>84</v>
      </c>
      <c r="D12" s="27" t="s">
        <v>85</v>
      </c>
      <c r="E12" s="27" t="s">
        <v>86</v>
      </c>
      <c r="F12" s="27" t="s">
        <v>49</v>
      </c>
      <c r="G12" s="27" t="s">
        <v>50</v>
      </c>
      <c r="H12" s="28">
        <v>312.6943</v>
      </c>
      <c r="I12" s="29">
        <f t="shared" si="0"/>
        <v>133.46002789305723</v>
      </c>
      <c r="J12" s="28">
        <v>41732.19</v>
      </c>
      <c r="K12" s="30"/>
    </row>
    <row r="13" spans="1:11" x14ac:dyDescent="0.2">
      <c r="A13" s="27" t="s">
        <v>44</v>
      </c>
      <c r="B13" s="27" t="s">
        <v>87</v>
      </c>
      <c r="C13" s="27" t="s">
        <v>88</v>
      </c>
      <c r="D13" s="27" t="s">
        <v>89</v>
      </c>
      <c r="E13" s="27" t="s">
        <v>90</v>
      </c>
      <c r="F13" s="27" t="s">
        <v>49</v>
      </c>
      <c r="G13" s="27" t="s">
        <v>50</v>
      </c>
      <c r="H13" s="28">
        <v>76.383300000000006</v>
      </c>
      <c r="I13" s="29">
        <f t="shared" si="0"/>
        <v>133.46006260530771</v>
      </c>
      <c r="J13" s="28">
        <v>10194.120000000001</v>
      </c>
      <c r="K13" s="30"/>
    </row>
    <row r="14" spans="1:11" x14ac:dyDescent="0.2">
      <c r="A14" s="27" t="s">
        <v>44</v>
      </c>
      <c r="B14" s="27" t="s">
        <v>91</v>
      </c>
      <c r="C14" s="27" t="s">
        <v>92</v>
      </c>
      <c r="D14" s="27" t="s">
        <v>93</v>
      </c>
      <c r="E14" s="27" t="s">
        <v>94</v>
      </c>
      <c r="F14" s="27" t="s">
        <v>49</v>
      </c>
      <c r="G14" s="27" t="s">
        <v>50</v>
      </c>
      <c r="H14" s="28">
        <v>298.37270000000001</v>
      </c>
      <c r="I14" s="29">
        <f t="shared" si="0"/>
        <v>133.45999818347991</v>
      </c>
      <c r="J14" s="28">
        <v>39820.82</v>
      </c>
      <c r="K14" s="30"/>
    </row>
    <row r="15" spans="1:11" x14ac:dyDescent="0.2">
      <c r="A15" s="27" t="s">
        <v>44</v>
      </c>
      <c r="B15" s="27" t="s">
        <v>95</v>
      </c>
      <c r="C15" s="27" t="s">
        <v>96</v>
      </c>
      <c r="D15" s="27" t="s">
        <v>97</v>
      </c>
      <c r="E15" s="27" t="s">
        <v>98</v>
      </c>
      <c r="F15" s="27" t="s">
        <v>49</v>
      </c>
      <c r="G15" s="27" t="s">
        <v>50</v>
      </c>
      <c r="H15" s="28">
        <v>103.83369999999999</v>
      </c>
      <c r="I15" s="29">
        <f t="shared" si="0"/>
        <v>133.45994604834462</v>
      </c>
      <c r="J15" s="28">
        <v>13857.64</v>
      </c>
      <c r="K15" s="30"/>
    </row>
    <row r="16" spans="1:11" x14ac:dyDescent="0.2">
      <c r="A16" s="27" t="s">
        <v>44</v>
      </c>
      <c r="B16" s="27" t="s">
        <v>99</v>
      </c>
      <c r="C16" s="27" t="s">
        <v>100</v>
      </c>
      <c r="D16" s="27" t="s">
        <v>101</v>
      </c>
      <c r="E16" s="27" t="s">
        <v>102</v>
      </c>
      <c r="F16" s="27" t="s">
        <v>49</v>
      </c>
      <c r="G16" s="27" t="s">
        <v>50</v>
      </c>
      <c r="H16" s="28">
        <v>286.43770000000001</v>
      </c>
      <c r="I16" s="29">
        <f t="shared" si="0"/>
        <v>133.45998100110427</v>
      </c>
      <c r="J16" s="28">
        <v>38227.97</v>
      </c>
      <c r="K16" s="30"/>
    </row>
    <row r="17" spans="1:11" x14ac:dyDescent="0.2">
      <c r="A17" s="27" t="s">
        <v>44</v>
      </c>
      <c r="B17" s="27" t="s">
        <v>103</v>
      </c>
      <c r="C17" s="27" t="s">
        <v>104</v>
      </c>
      <c r="D17" s="27" t="s">
        <v>105</v>
      </c>
      <c r="E17" s="27" t="s">
        <v>106</v>
      </c>
      <c r="F17" s="27" t="s">
        <v>49</v>
      </c>
      <c r="G17" s="27" t="s">
        <v>50</v>
      </c>
      <c r="H17" s="28">
        <v>64.448700000000002</v>
      </c>
      <c r="I17" s="29">
        <f t="shared" si="0"/>
        <v>133.45994566220884</v>
      </c>
      <c r="J17" s="28">
        <v>8601.32</v>
      </c>
      <c r="K17" s="30"/>
    </row>
    <row r="18" spans="1:11" x14ac:dyDescent="0.2">
      <c r="A18" s="27" t="s">
        <v>44</v>
      </c>
      <c r="B18" s="27" t="s">
        <v>107</v>
      </c>
      <c r="C18" s="27" t="s">
        <v>108</v>
      </c>
      <c r="D18" s="27" t="s">
        <v>109</v>
      </c>
      <c r="E18" s="27" t="s">
        <v>110</v>
      </c>
      <c r="F18" s="27" t="s">
        <v>49</v>
      </c>
      <c r="G18" s="27" t="s">
        <v>50</v>
      </c>
      <c r="H18" s="28">
        <v>262.5677</v>
      </c>
      <c r="I18" s="29">
        <f t="shared" si="0"/>
        <v>133.45998003562508</v>
      </c>
      <c r="J18" s="28">
        <v>35042.28</v>
      </c>
      <c r="K18" s="30"/>
    </row>
    <row r="19" spans="1:11" x14ac:dyDescent="0.2">
      <c r="A19" s="27" t="s">
        <v>44</v>
      </c>
      <c r="B19" s="27" t="s">
        <v>111</v>
      </c>
      <c r="C19" s="27" t="s">
        <v>112</v>
      </c>
      <c r="D19" s="27" t="s">
        <v>113</v>
      </c>
      <c r="E19" s="27" t="s">
        <v>114</v>
      </c>
      <c r="F19" s="27" t="s">
        <v>49</v>
      </c>
      <c r="G19" s="27" t="s">
        <v>50</v>
      </c>
      <c r="H19" s="28">
        <v>25.421299999999999</v>
      </c>
      <c r="I19" s="29">
        <f t="shared" si="0"/>
        <v>133.46012989107561</v>
      </c>
      <c r="J19" s="28">
        <v>3392.73</v>
      </c>
      <c r="K19" s="30"/>
    </row>
    <row r="20" spans="1:11" x14ac:dyDescent="0.2">
      <c r="A20" s="27" t="s">
        <v>44</v>
      </c>
      <c r="B20" s="27" t="s">
        <v>115</v>
      </c>
      <c r="C20" s="27" t="s">
        <v>116</v>
      </c>
      <c r="D20" s="27" t="s">
        <v>117</v>
      </c>
      <c r="E20" s="27" t="s">
        <v>118</v>
      </c>
      <c r="F20" s="27" t="s">
        <v>49</v>
      </c>
      <c r="G20" s="27" t="s">
        <v>50</v>
      </c>
      <c r="H20" s="28">
        <v>72.468699999999998</v>
      </c>
      <c r="I20" s="29">
        <f t="shared" si="0"/>
        <v>133.45996271493763</v>
      </c>
      <c r="J20" s="28">
        <v>9671.67</v>
      </c>
      <c r="K20" s="30"/>
    </row>
    <row r="21" spans="1:11" x14ac:dyDescent="0.2">
      <c r="A21" s="27" t="s">
        <v>44</v>
      </c>
      <c r="B21" s="27" t="s">
        <v>119</v>
      </c>
      <c r="C21" s="27" t="s">
        <v>120</v>
      </c>
      <c r="D21" s="27" t="s">
        <v>121</v>
      </c>
      <c r="E21" s="27" t="s">
        <v>122</v>
      </c>
      <c r="F21" s="27" t="s">
        <v>49</v>
      </c>
      <c r="G21" s="27" t="s">
        <v>50</v>
      </c>
      <c r="H21" s="28">
        <v>223.4213</v>
      </c>
      <c r="I21" s="29">
        <f t="shared" si="0"/>
        <v>133.46001477925336</v>
      </c>
      <c r="J21" s="28">
        <v>29817.81</v>
      </c>
      <c r="K21" s="30"/>
    </row>
    <row r="22" spans="1:11" x14ac:dyDescent="0.2">
      <c r="A22" s="27" t="s">
        <v>44</v>
      </c>
      <c r="B22" s="27" t="s">
        <v>123</v>
      </c>
      <c r="C22" s="27" t="s">
        <v>124</v>
      </c>
      <c r="D22" s="27" t="s">
        <v>125</v>
      </c>
      <c r="E22" s="27" t="s">
        <v>126</v>
      </c>
      <c r="F22" s="27" t="s">
        <v>49</v>
      </c>
      <c r="G22" s="27" t="s">
        <v>50</v>
      </c>
      <c r="H22" s="28">
        <v>55.592700000000001</v>
      </c>
      <c r="I22" s="29">
        <f t="shared" si="0"/>
        <v>133.45996866495059</v>
      </c>
      <c r="J22" s="28">
        <v>7419.4</v>
      </c>
      <c r="K22" s="30"/>
    </row>
    <row r="23" spans="1:11" x14ac:dyDescent="0.2">
      <c r="A23" s="27" t="s">
        <v>44</v>
      </c>
      <c r="B23" s="27" t="s">
        <v>127</v>
      </c>
      <c r="C23" s="27" t="s">
        <v>128</v>
      </c>
      <c r="D23" s="27" t="s">
        <v>129</v>
      </c>
      <c r="E23" s="27" t="s">
        <v>130</v>
      </c>
      <c r="F23" s="27" t="s">
        <v>49</v>
      </c>
      <c r="G23" s="27" t="s">
        <v>50</v>
      </c>
      <c r="H23" s="28">
        <v>162.31469999999999</v>
      </c>
      <c r="I23" s="29">
        <f t="shared" si="0"/>
        <v>133.46000085020026</v>
      </c>
      <c r="J23" s="28">
        <v>21662.52</v>
      </c>
      <c r="K23" s="30"/>
    </row>
    <row r="24" spans="1:11" x14ac:dyDescent="0.2">
      <c r="A24" s="27" t="s">
        <v>44</v>
      </c>
      <c r="B24" s="27" t="s">
        <v>131</v>
      </c>
      <c r="C24" s="27" t="s">
        <v>132</v>
      </c>
      <c r="D24" s="27" t="s">
        <v>133</v>
      </c>
      <c r="E24" s="27" t="s">
        <v>134</v>
      </c>
      <c r="F24" s="27" t="s">
        <v>49</v>
      </c>
      <c r="G24" s="27" t="s">
        <v>50</v>
      </c>
      <c r="H24" s="28">
        <v>39.433</v>
      </c>
      <c r="I24" s="29">
        <f t="shared" si="0"/>
        <v>133.4600461542363</v>
      </c>
      <c r="J24" s="28">
        <v>5262.73</v>
      </c>
      <c r="K24" s="30"/>
    </row>
    <row r="25" spans="1:11" x14ac:dyDescent="0.2">
      <c r="A25" s="27" t="s">
        <v>44</v>
      </c>
      <c r="B25" s="27" t="s">
        <v>135</v>
      </c>
      <c r="C25" s="27" t="s">
        <v>136</v>
      </c>
      <c r="D25" s="27" t="s">
        <v>137</v>
      </c>
      <c r="E25" s="27" t="s">
        <v>138</v>
      </c>
      <c r="F25" s="27" t="s">
        <v>49</v>
      </c>
      <c r="G25" s="27" t="s">
        <v>50</v>
      </c>
      <c r="H25" s="28">
        <v>34.945300000000003</v>
      </c>
      <c r="I25" s="29">
        <f t="shared" si="0"/>
        <v>133.46000749743169</v>
      </c>
      <c r="J25" s="28">
        <v>4663.8</v>
      </c>
      <c r="K25" s="30"/>
    </row>
    <row r="26" spans="1:11" x14ac:dyDescent="0.2">
      <c r="A26" s="27" t="s">
        <v>44</v>
      </c>
      <c r="B26" s="27" t="s">
        <v>139</v>
      </c>
      <c r="C26" s="27" t="s">
        <v>140</v>
      </c>
      <c r="D26" s="27" t="s">
        <v>141</v>
      </c>
      <c r="E26" s="27" t="s">
        <v>142</v>
      </c>
      <c r="F26" s="27" t="s">
        <v>49</v>
      </c>
      <c r="G26" s="27" t="s">
        <v>50</v>
      </c>
      <c r="H26" s="28">
        <v>159.68899999999999</v>
      </c>
      <c r="I26" s="29">
        <f t="shared" si="0"/>
        <v>133.45997532704195</v>
      </c>
      <c r="J26" s="28">
        <v>21312.09</v>
      </c>
      <c r="K26" s="30"/>
    </row>
    <row r="27" spans="1:11" x14ac:dyDescent="0.2">
      <c r="A27" s="27" t="s">
        <v>44</v>
      </c>
      <c r="B27" s="27" t="s">
        <v>143</v>
      </c>
      <c r="C27" s="27" t="s">
        <v>144</v>
      </c>
      <c r="D27" s="27" t="s">
        <v>145</v>
      </c>
      <c r="E27" s="27" t="s">
        <v>146</v>
      </c>
      <c r="F27" s="27" t="s">
        <v>49</v>
      </c>
      <c r="G27" s="27" t="s">
        <v>50</v>
      </c>
      <c r="H27" s="28">
        <v>128.89699999999999</v>
      </c>
      <c r="I27" s="29">
        <f t="shared" si="0"/>
        <v>133.45997191556049</v>
      </c>
      <c r="J27" s="28">
        <v>17202.59</v>
      </c>
      <c r="K27" s="30"/>
    </row>
    <row r="28" spans="1:11" x14ac:dyDescent="0.2">
      <c r="A28" s="70">
        <v>45055</v>
      </c>
      <c r="B28" s="74">
        <v>29413</v>
      </c>
      <c r="C28" s="74" t="s">
        <v>147</v>
      </c>
      <c r="D28" s="74" t="s">
        <v>148</v>
      </c>
      <c r="E28" s="74" t="s">
        <v>149</v>
      </c>
      <c r="F28" s="74" t="s">
        <v>49</v>
      </c>
      <c r="G28" s="74" t="s">
        <v>50</v>
      </c>
      <c r="H28" s="75">
        <v>757.91099999999994</v>
      </c>
      <c r="I28" s="76">
        <v>69.040006000000005</v>
      </c>
      <c r="J28" s="75">
        <f>-H28*I28</f>
        <v>-52326.179987465999</v>
      </c>
      <c r="K28" s="30"/>
    </row>
    <row r="29" spans="1:11" x14ac:dyDescent="0.2">
      <c r="A29" s="31" t="s">
        <v>150</v>
      </c>
      <c r="B29" s="31" t="s">
        <v>151</v>
      </c>
      <c r="C29" s="31" t="s">
        <v>147</v>
      </c>
      <c r="D29" s="31" t="s">
        <v>148</v>
      </c>
      <c r="E29" s="31" t="s">
        <v>152</v>
      </c>
      <c r="F29" s="31" t="s">
        <v>49</v>
      </c>
      <c r="G29" s="31" t="s">
        <v>50</v>
      </c>
      <c r="H29" s="32">
        <v>1341.6490241481972</v>
      </c>
      <c r="I29" s="33">
        <v>90.69</v>
      </c>
      <c r="J29" s="32">
        <v>121674.15</v>
      </c>
      <c r="K29" s="34" t="s">
        <v>153</v>
      </c>
    </row>
    <row r="30" spans="1:11" x14ac:dyDescent="0.2">
      <c r="A30" s="27" t="s">
        <v>154</v>
      </c>
      <c r="B30" s="27" t="s">
        <v>155</v>
      </c>
      <c r="C30" s="27" t="s">
        <v>147</v>
      </c>
      <c r="D30" s="27" t="s">
        <v>148</v>
      </c>
      <c r="E30" s="27" t="s">
        <v>152</v>
      </c>
      <c r="F30" s="27" t="s">
        <v>49</v>
      </c>
      <c r="G30" s="27" t="s">
        <v>50</v>
      </c>
      <c r="H30" s="28">
        <v>757.91099999999994</v>
      </c>
      <c r="I30" s="29">
        <f t="shared" si="0"/>
        <v>90.690001860376753</v>
      </c>
      <c r="J30" s="28">
        <v>68734.95</v>
      </c>
      <c r="K30" s="30"/>
    </row>
    <row r="31" spans="1:11" x14ac:dyDescent="0.2">
      <c r="A31" s="27" t="s">
        <v>156</v>
      </c>
      <c r="B31" s="27" t="s">
        <v>157</v>
      </c>
      <c r="C31" s="27" t="s">
        <v>46</v>
      </c>
      <c r="D31" s="27" t="s">
        <v>47</v>
      </c>
      <c r="E31" s="27" t="s">
        <v>158</v>
      </c>
      <c r="F31" s="27" t="s">
        <v>49</v>
      </c>
      <c r="G31" s="27" t="s">
        <v>50</v>
      </c>
      <c r="H31" s="28">
        <v>438.89600000000002</v>
      </c>
      <c r="I31" s="29">
        <f t="shared" si="0"/>
        <v>133.45999963544892</v>
      </c>
      <c r="J31" s="28">
        <v>58575.06</v>
      </c>
      <c r="K31" s="30"/>
    </row>
    <row r="32" spans="1:11" x14ac:dyDescent="0.2">
      <c r="A32" s="27" t="s">
        <v>156</v>
      </c>
      <c r="B32" s="27" t="s">
        <v>159</v>
      </c>
      <c r="C32" s="27" t="s">
        <v>52</v>
      </c>
      <c r="D32" s="27" t="s">
        <v>53</v>
      </c>
      <c r="E32" s="27" t="s">
        <v>160</v>
      </c>
      <c r="F32" s="27" t="s">
        <v>49</v>
      </c>
      <c r="G32" s="27" t="s">
        <v>50</v>
      </c>
      <c r="H32" s="28">
        <v>118.87130000000001</v>
      </c>
      <c r="I32" s="29">
        <f t="shared" si="0"/>
        <v>133.45996889072467</v>
      </c>
      <c r="J32" s="28">
        <v>15864.56</v>
      </c>
      <c r="K32" s="30"/>
    </row>
    <row r="33" spans="1:11" x14ac:dyDescent="0.2">
      <c r="A33" s="27" t="s">
        <v>156</v>
      </c>
      <c r="B33" s="27" t="s">
        <v>161</v>
      </c>
      <c r="C33" s="27" t="s">
        <v>56</v>
      </c>
      <c r="D33" s="27" t="s">
        <v>57</v>
      </c>
      <c r="E33" s="27" t="s">
        <v>162</v>
      </c>
      <c r="F33" s="27" t="s">
        <v>49</v>
      </c>
      <c r="G33" s="27" t="s">
        <v>50</v>
      </c>
      <c r="H33" s="28">
        <v>242.3167</v>
      </c>
      <c r="I33" s="29">
        <f t="shared" si="0"/>
        <v>133.45997201183411</v>
      </c>
      <c r="J33" s="28">
        <v>32339.58</v>
      </c>
      <c r="K33" s="30"/>
    </row>
    <row r="34" spans="1:11" x14ac:dyDescent="0.2">
      <c r="A34" s="27" t="s">
        <v>156</v>
      </c>
      <c r="B34" s="27" t="s">
        <v>163</v>
      </c>
      <c r="C34" s="27" t="s">
        <v>60</v>
      </c>
      <c r="D34" s="27" t="s">
        <v>61</v>
      </c>
      <c r="E34" s="27" t="s">
        <v>164</v>
      </c>
      <c r="F34" s="27" t="s">
        <v>49</v>
      </c>
      <c r="G34" s="27" t="s">
        <v>50</v>
      </c>
      <c r="H34" s="28">
        <v>92.399299999999997</v>
      </c>
      <c r="I34" s="29">
        <f t="shared" si="0"/>
        <v>133.46010197046948</v>
      </c>
      <c r="J34" s="28">
        <v>12331.62</v>
      </c>
      <c r="K34" s="30"/>
    </row>
    <row r="35" spans="1:11" x14ac:dyDescent="0.2">
      <c r="A35" s="27" t="s">
        <v>156</v>
      </c>
      <c r="B35" s="27" t="s">
        <v>165</v>
      </c>
      <c r="C35" s="27" t="s">
        <v>64</v>
      </c>
      <c r="D35" s="27" t="s">
        <v>65</v>
      </c>
      <c r="E35" s="27" t="s">
        <v>166</v>
      </c>
      <c r="F35" s="27" t="s">
        <v>49</v>
      </c>
      <c r="G35" s="27" t="s">
        <v>50</v>
      </c>
      <c r="H35" s="28">
        <v>124.7393</v>
      </c>
      <c r="I35" s="29">
        <f t="shared" si="0"/>
        <v>133.46010439372355</v>
      </c>
      <c r="J35" s="28">
        <v>16647.72</v>
      </c>
      <c r="K35" s="30"/>
    </row>
    <row r="36" spans="1:11" x14ac:dyDescent="0.2">
      <c r="A36" s="27" t="s">
        <v>156</v>
      </c>
      <c r="B36" s="27" t="s">
        <v>167</v>
      </c>
      <c r="C36" s="27" t="s">
        <v>68</v>
      </c>
      <c r="D36" s="27" t="s">
        <v>69</v>
      </c>
      <c r="E36" s="27" t="s">
        <v>168</v>
      </c>
      <c r="F36" s="27" t="s">
        <v>49</v>
      </c>
      <c r="G36" s="27" t="s">
        <v>50</v>
      </c>
      <c r="H36" s="28">
        <v>333.09930000000003</v>
      </c>
      <c r="I36" s="29">
        <f t="shared" si="0"/>
        <v>133.46002228164394</v>
      </c>
      <c r="J36" s="28">
        <v>44455.44</v>
      </c>
      <c r="K36" s="30"/>
    </row>
    <row r="37" spans="1:11" x14ac:dyDescent="0.2">
      <c r="A37" s="27" t="s">
        <v>156</v>
      </c>
      <c r="B37" s="27" t="s">
        <v>169</v>
      </c>
      <c r="C37" s="27" t="s">
        <v>72</v>
      </c>
      <c r="D37" s="27" t="s">
        <v>73</v>
      </c>
      <c r="E37" s="27" t="s">
        <v>170</v>
      </c>
      <c r="F37" s="27" t="s">
        <v>49</v>
      </c>
      <c r="G37" s="27" t="s">
        <v>50</v>
      </c>
      <c r="H37" s="28">
        <v>217.64670000000001</v>
      </c>
      <c r="I37" s="29">
        <f t="shared" si="0"/>
        <v>133.45996056912418</v>
      </c>
      <c r="J37" s="28">
        <v>29047.119999999999</v>
      </c>
      <c r="K37" s="30"/>
    </row>
    <row r="38" spans="1:11" x14ac:dyDescent="0.2">
      <c r="A38" s="27" t="s">
        <v>156</v>
      </c>
      <c r="B38" s="27" t="s">
        <v>171</v>
      </c>
      <c r="C38" s="27" t="s">
        <v>76</v>
      </c>
      <c r="D38" s="27" t="s">
        <v>77</v>
      </c>
      <c r="E38" s="27" t="s">
        <v>172</v>
      </c>
      <c r="F38" s="27" t="s">
        <v>49</v>
      </c>
      <c r="G38" s="27" t="s">
        <v>50</v>
      </c>
      <c r="H38" s="28">
        <v>55.439300000000003</v>
      </c>
      <c r="I38" s="29">
        <f t="shared" si="0"/>
        <v>133.46019881203404</v>
      </c>
      <c r="J38" s="28">
        <v>7398.94</v>
      </c>
      <c r="K38" s="30"/>
    </row>
    <row r="39" spans="1:11" x14ac:dyDescent="0.2">
      <c r="A39" s="27" t="s">
        <v>156</v>
      </c>
      <c r="B39" s="27" t="s">
        <v>173</v>
      </c>
      <c r="C39" s="27" t="s">
        <v>80</v>
      </c>
      <c r="D39" s="27" t="s">
        <v>81</v>
      </c>
      <c r="E39" s="27" t="s">
        <v>174</v>
      </c>
      <c r="F39" s="27" t="s">
        <v>49</v>
      </c>
      <c r="G39" s="27" t="s">
        <v>50</v>
      </c>
      <c r="H39" s="28">
        <v>247.58330000000001</v>
      </c>
      <c r="I39" s="29">
        <f t="shared" si="0"/>
        <v>133.46005162706857</v>
      </c>
      <c r="J39" s="28">
        <v>33042.480000000003</v>
      </c>
      <c r="K39" s="30"/>
    </row>
    <row r="40" spans="1:11" x14ac:dyDescent="0.2">
      <c r="A40" s="27" t="s">
        <v>156</v>
      </c>
      <c r="B40" s="27" t="s">
        <v>175</v>
      </c>
      <c r="C40" s="27" t="s">
        <v>84</v>
      </c>
      <c r="D40" s="27" t="s">
        <v>85</v>
      </c>
      <c r="E40" s="27" t="s">
        <v>176</v>
      </c>
      <c r="F40" s="27" t="s">
        <v>49</v>
      </c>
      <c r="G40" s="27" t="s">
        <v>50</v>
      </c>
      <c r="H40" s="28">
        <v>605.21469999999999</v>
      </c>
      <c r="I40" s="29">
        <f t="shared" si="0"/>
        <v>133.45997709573149</v>
      </c>
      <c r="J40" s="28">
        <v>80771.94</v>
      </c>
      <c r="K40" s="30"/>
    </row>
    <row r="41" spans="1:11" x14ac:dyDescent="0.2">
      <c r="A41" s="27" t="s">
        <v>156</v>
      </c>
      <c r="B41" s="27" t="s">
        <v>177</v>
      </c>
      <c r="C41" s="27" t="s">
        <v>88</v>
      </c>
      <c r="D41" s="27" t="s">
        <v>89</v>
      </c>
      <c r="E41" s="27" t="s">
        <v>178</v>
      </c>
      <c r="F41" s="27" t="s">
        <v>49</v>
      </c>
      <c r="G41" s="27" t="s">
        <v>50</v>
      </c>
      <c r="H41" s="28">
        <v>147.83869999999999</v>
      </c>
      <c r="I41" s="29">
        <f t="shared" si="0"/>
        <v>133.45991272921097</v>
      </c>
      <c r="J41" s="28">
        <v>19730.54</v>
      </c>
      <c r="K41" s="30"/>
    </row>
    <row r="42" spans="1:11" x14ac:dyDescent="0.2">
      <c r="A42" s="27" t="s">
        <v>156</v>
      </c>
      <c r="B42" s="27" t="s">
        <v>179</v>
      </c>
      <c r="C42" s="27" t="s">
        <v>92</v>
      </c>
      <c r="D42" s="27" t="s">
        <v>93</v>
      </c>
      <c r="E42" s="27" t="s">
        <v>180</v>
      </c>
      <c r="F42" s="27" t="s">
        <v>49</v>
      </c>
      <c r="G42" s="27" t="s">
        <v>50</v>
      </c>
      <c r="H42" s="28">
        <v>577.49530000000004</v>
      </c>
      <c r="I42" s="29">
        <f t="shared" si="0"/>
        <v>133.45999525883587</v>
      </c>
      <c r="J42" s="28">
        <v>77072.52</v>
      </c>
      <c r="K42" s="30"/>
    </row>
    <row r="43" spans="1:11" x14ac:dyDescent="0.2">
      <c r="A43" s="27" t="s">
        <v>156</v>
      </c>
      <c r="B43" s="27" t="s">
        <v>181</v>
      </c>
      <c r="C43" s="27" t="s">
        <v>96</v>
      </c>
      <c r="D43" s="27" t="s">
        <v>97</v>
      </c>
      <c r="E43" s="27" t="s">
        <v>182</v>
      </c>
      <c r="F43" s="27" t="s">
        <v>49</v>
      </c>
      <c r="G43" s="27" t="s">
        <v>50</v>
      </c>
      <c r="H43" s="28">
        <v>200.96799999999999</v>
      </c>
      <c r="I43" s="29">
        <f t="shared" si="0"/>
        <v>133.45995382349429</v>
      </c>
      <c r="J43" s="28">
        <v>26821.18</v>
      </c>
      <c r="K43" s="30"/>
    </row>
    <row r="44" spans="1:11" x14ac:dyDescent="0.2">
      <c r="A44" s="27" t="s">
        <v>156</v>
      </c>
      <c r="B44" s="27" t="s">
        <v>183</v>
      </c>
      <c r="C44" s="27" t="s">
        <v>100</v>
      </c>
      <c r="D44" s="27" t="s">
        <v>101</v>
      </c>
      <c r="E44" s="27" t="s">
        <v>184</v>
      </c>
      <c r="F44" s="27" t="s">
        <v>49</v>
      </c>
      <c r="G44" s="27" t="s">
        <v>50</v>
      </c>
      <c r="H44" s="28">
        <v>554.39530000000002</v>
      </c>
      <c r="I44" s="29">
        <f t="shared" si="0"/>
        <v>133.46000588388827</v>
      </c>
      <c r="J44" s="28">
        <v>73989.600000000006</v>
      </c>
      <c r="K44" s="30"/>
    </row>
    <row r="45" spans="1:11" x14ac:dyDescent="0.2">
      <c r="A45" s="27" t="s">
        <v>156</v>
      </c>
      <c r="B45" s="27" t="s">
        <v>185</v>
      </c>
      <c r="C45" s="27" t="s">
        <v>104</v>
      </c>
      <c r="D45" s="27" t="s">
        <v>105</v>
      </c>
      <c r="E45" s="27" t="s">
        <v>186</v>
      </c>
      <c r="F45" s="27" t="s">
        <v>49</v>
      </c>
      <c r="G45" s="27" t="s">
        <v>50</v>
      </c>
      <c r="H45" s="28">
        <v>124.7393</v>
      </c>
      <c r="I45" s="29">
        <f t="shared" si="0"/>
        <v>133.46010439372355</v>
      </c>
      <c r="J45" s="28">
        <v>16647.72</v>
      </c>
      <c r="K45" s="30"/>
    </row>
    <row r="46" spans="1:11" x14ac:dyDescent="0.2">
      <c r="A46" s="27" t="s">
        <v>156</v>
      </c>
      <c r="B46" s="27" t="s">
        <v>187</v>
      </c>
      <c r="C46" s="27" t="s">
        <v>108</v>
      </c>
      <c r="D46" s="27" t="s">
        <v>109</v>
      </c>
      <c r="E46" s="27" t="s">
        <v>188</v>
      </c>
      <c r="F46" s="27" t="s">
        <v>49</v>
      </c>
      <c r="G46" s="27" t="s">
        <v>50</v>
      </c>
      <c r="H46" s="28">
        <v>508.19600000000003</v>
      </c>
      <c r="I46" s="29">
        <f t="shared" si="0"/>
        <v>133.4600036206503</v>
      </c>
      <c r="J46" s="28">
        <v>67823.839999999997</v>
      </c>
      <c r="K46" s="30"/>
    </row>
    <row r="47" spans="1:11" x14ac:dyDescent="0.2">
      <c r="A47" s="27" t="s">
        <v>156</v>
      </c>
      <c r="B47" s="27" t="s">
        <v>189</v>
      </c>
      <c r="C47" s="27" t="s">
        <v>112</v>
      </c>
      <c r="D47" s="27" t="s">
        <v>113</v>
      </c>
      <c r="E47" s="27" t="s">
        <v>190</v>
      </c>
      <c r="F47" s="27" t="s">
        <v>49</v>
      </c>
      <c r="G47" s="27" t="s">
        <v>50</v>
      </c>
      <c r="H47" s="28">
        <v>49.2027</v>
      </c>
      <c r="I47" s="29">
        <f t="shared" si="0"/>
        <v>133.45974916010707</v>
      </c>
      <c r="J47" s="28">
        <v>6566.58</v>
      </c>
      <c r="K47" s="30"/>
    </row>
    <row r="48" spans="1:11" x14ac:dyDescent="0.2">
      <c r="A48" s="27" t="s">
        <v>156</v>
      </c>
      <c r="B48" s="27" t="s">
        <v>191</v>
      </c>
      <c r="C48" s="27" t="s">
        <v>116</v>
      </c>
      <c r="D48" s="27" t="s">
        <v>117</v>
      </c>
      <c r="E48" s="27" t="s">
        <v>192</v>
      </c>
      <c r="F48" s="27" t="s">
        <v>49</v>
      </c>
      <c r="G48" s="27" t="s">
        <v>50</v>
      </c>
      <c r="H48" s="28">
        <v>140.262</v>
      </c>
      <c r="I48" s="29">
        <f t="shared" si="0"/>
        <v>133.45995351556374</v>
      </c>
      <c r="J48" s="28">
        <v>18719.36</v>
      </c>
      <c r="K48" s="30"/>
    </row>
    <row r="49" spans="1:11" x14ac:dyDescent="0.2">
      <c r="A49" s="27" t="s">
        <v>156</v>
      </c>
      <c r="B49" s="27" t="s">
        <v>193</v>
      </c>
      <c r="C49" s="27" t="s">
        <v>120</v>
      </c>
      <c r="D49" s="27" t="s">
        <v>121</v>
      </c>
      <c r="E49" s="27" t="s">
        <v>194</v>
      </c>
      <c r="F49" s="27" t="s">
        <v>49</v>
      </c>
      <c r="G49" s="27" t="s">
        <v>50</v>
      </c>
      <c r="H49" s="28">
        <v>432.428</v>
      </c>
      <c r="I49" s="29">
        <f t="shared" si="0"/>
        <v>133.45999796497912</v>
      </c>
      <c r="J49" s="28">
        <v>57711.839999999997</v>
      </c>
      <c r="K49" s="30"/>
    </row>
    <row r="50" spans="1:11" x14ac:dyDescent="0.2">
      <c r="A50" s="27" t="s">
        <v>156</v>
      </c>
      <c r="B50" s="27" t="s">
        <v>195</v>
      </c>
      <c r="C50" s="27" t="s">
        <v>124</v>
      </c>
      <c r="D50" s="27" t="s">
        <v>125</v>
      </c>
      <c r="E50" s="27" t="s">
        <v>196</v>
      </c>
      <c r="F50" s="27" t="s">
        <v>49</v>
      </c>
      <c r="G50" s="27" t="s">
        <v>50</v>
      </c>
      <c r="H50" s="28">
        <v>107.59869999999999</v>
      </c>
      <c r="I50" s="29">
        <f t="shared" si="0"/>
        <v>133.45997674693098</v>
      </c>
      <c r="J50" s="28">
        <v>14360.12</v>
      </c>
      <c r="K50" s="30"/>
    </row>
    <row r="51" spans="1:11" x14ac:dyDescent="0.2">
      <c r="A51" s="27" t="s">
        <v>156</v>
      </c>
      <c r="B51" s="27" t="s">
        <v>197</v>
      </c>
      <c r="C51" s="27" t="s">
        <v>128</v>
      </c>
      <c r="D51" s="27" t="s">
        <v>129</v>
      </c>
      <c r="E51" s="27" t="s">
        <v>198</v>
      </c>
      <c r="F51" s="27" t="s">
        <v>49</v>
      </c>
      <c r="G51" s="27" t="s">
        <v>50</v>
      </c>
      <c r="H51" s="28">
        <v>314.15730000000002</v>
      </c>
      <c r="I51" s="29">
        <f t="shared" si="0"/>
        <v>133.46002146058677</v>
      </c>
      <c r="J51" s="28">
        <v>41927.440000000002</v>
      </c>
      <c r="K51" s="30"/>
    </row>
    <row r="52" spans="1:11" x14ac:dyDescent="0.2">
      <c r="A52" s="27" t="s">
        <v>156</v>
      </c>
      <c r="B52" s="27" t="s">
        <v>199</v>
      </c>
      <c r="C52" s="27" t="s">
        <v>132</v>
      </c>
      <c r="D52" s="27" t="s">
        <v>133</v>
      </c>
      <c r="E52" s="27" t="s">
        <v>200</v>
      </c>
      <c r="F52" s="27" t="s">
        <v>49</v>
      </c>
      <c r="G52" s="27" t="s">
        <v>50</v>
      </c>
      <c r="H52" s="28">
        <v>76.322000000000003</v>
      </c>
      <c r="I52" s="29">
        <f t="shared" si="0"/>
        <v>133.46007704200625</v>
      </c>
      <c r="J52" s="28">
        <v>10185.94</v>
      </c>
      <c r="K52" s="30"/>
    </row>
    <row r="53" spans="1:11" x14ac:dyDescent="0.2">
      <c r="A53" s="27" t="s">
        <v>156</v>
      </c>
      <c r="B53" s="27" t="s">
        <v>201</v>
      </c>
      <c r="C53" s="27" t="s">
        <v>136</v>
      </c>
      <c r="D53" s="27" t="s">
        <v>137</v>
      </c>
      <c r="E53" s="27" t="s">
        <v>202</v>
      </c>
      <c r="F53" s="27" t="s">
        <v>49</v>
      </c>
      <c r="G53" s="27" t="s">
        <v>50</v>
      </c>
      <c r="H53" s="28">
        <v>67.635999999999996</v>
      </c>
      <c r="I53" s="29">
        <f t="shared" si="0"/>
        <v>133.4599917203856</v>
      </c>
      <c r="J53" s="28">
        <v>9026.7000000000007</v>
      </c>
      <c r="K53" s="30"/>
    </row>
    <row r="54" spans="1:11" x14ac:dyDescent="0.2">
      <c r="A54" s="27" t="s">
        <v>156</v>
      </c>
      <c r="B54" s="27" t="s">
        <v>203</v>
      </c>
      <c r="C54" s="27" t="s">
        <v>140</v>
      </c>
      <c r="D54" s="27" t="s">
        <v>141</v>
      </c>
      <c r="E54" s="27" t="s">
        <v>204</v>
      </c>
      <c r="F54" s="27" t="s">
        <v>49</v>
      </c>
      <c r="G54" s="27" t="s">
        <v>50</v>
      </c>
      <c r="H54" s="28">
        <v>309.07530000000003</v>
      </c>
      <c r="I54" s="29">
        <f t="shared" si="0"/>
        <v>133.46003384935642</v>
      </c>
      <c r="J54" s="28">
        <v>41249.199999999997</v>
      </c>
      <c r="K54" s="30"/>
    </row>
    <row r="55" spans="1:11" x14ac:dyDescent="0.2">
      <c r="A55" s="27" t="s">
        <v>156</v>
      </c>
      <c r="B55" s="27" t="s">
        <v>205</v>
      </c>
      <c r="C55" s="27" t="s">
        <v>144</v>
      </c>
      <c r="D55" s="27" t="s">
        <v>145</v>
      </c>
      <c r="E55" s="27" t="s">
        <v>206</v>
      </c>
      <c r="F55" s="27" t="s">
        <v>49</v>
      </c>
      <c r="G55" s="27" t="s">
        <v>50</v>
      </c>
      <c r="H55" s="28">
        <v>249.47800000000001</v>
      </c>
      <c r="I55" s="29">
        <f t="shared" si="0"/>
        <v>133.46002453122117</v>
      </c>
      <c r="J55" s="28">
        <v>33295.339999999997</v>
      </c>
      <c r="K55" s="30"/>
    </row>
    <row r="56" spans="1:11" x14ac:dyDescent="0.2">
      <c r="A56" s="27" t="s">
        <v>207</v>
      </c>
      <c r="B56" s="27" t="s">
        <v>208</v>
      </c>
      <c r="C56" s="27" t="s">
        <v>208</v>
      </c>
      <c r="D56" s="27" t="s">
        <v>208</v>
      </c>
      <c r="E56" s="27" t="s">
        <v>208</v>
      </c>
      <c r="F56" s="27" t="s">
        <v>208</v>
      </c>
      <c r="G56" s="27" t="s">
        <v>208</v>
      </c>
      <c r="H56" s="35">
        <v>10458.199700000003</v>
      </c>
      <c r="I56" s="35"/>
    </row>
    <row r="58" spans="1:11" x14ac:dyDescent="0.2">
      <c r="G58" s="48"/>
      <c r="H58" s="49"/>
      <c r="I58" s="50" t="s">
        <v>209</v>
      </c>
      <c r="J58" s="51">
        <f>SUM(J3:J27,J29:J55)</f>
        <v>1472906.1400000001</v>
      </c>
      <c r="K58" s="53" t="s">
        <v>210</v>
      </c>
    </row>
    <row r="59" spans="1:11" x14ac:dyDescent="0.2">
      <c r="G59" s="48"/>
      <c r="H59" s="49"/>
      <c r="I59" s="50" t="s">
        <v>211</v>
      </c>
      <c r="J59" s="52">
        <f>SUM(J3:J55)-J29</f>
        <v>1298905.8100125343</v>
      </c>
      <c r="K59" s="52">
        <f>J59-J58</f>
        <v>-174000.32998746587</v>
      </c>
    </row>
  </sheetData>
  <autoFilter ref="A2:J56" xr:uid="{00000000-0001-0000-0000-000000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D8A07-2AFF-4FDE-BFD7-7F6DE18905CF}">
  <dimension ref="A1:K39"/>
  <sheetViews>
    <sheetView showGridLines="0" zoomScaleNormal="100" workbookViewId="0">
      <selection activeCell="M18" sqref="M18"/>
    </sheetView>
  </sheetViews>
  <sheetFormatPr defaultColWidth="15" defaultRowHeight="12.75" x14ac:dyDescent="0.2"/>
  <cols>
    <col min="1" max="1" width="12.5703125" style="25" customWidth="1"/>
    <col min="2" max="2" width="14.5703125" style="25" customWidth="1"/>
    <col min="3" max="3" width="56.85546875" style="25" bestFit="1" customWidth="1"/>
    <col min="4" max="4" width="17.42578125" style="25" bestFit="1" customWidth="1"/>
    <col min="5" max="5" width="35.85546875" style="25" customWidth="1"/>
    <col min="6" max="6" width="29.42578125" style="25" bestFit="1" customWidth="1"/>
    <col min="7" max="7" width="8.140625" style="25" bestFit="1" customWidth="1"/>
    <col min="8" max="8" width="15" style="25" bestFit="1" customWidth="1"/>
    <col min="9" max="9" width="12.5703125" style="25" bestFit="1" customWidth="1"/>
    <col min="10" max="10" width="17.5703125" style="25" bestFit="1" customWidth="1"/>
    <col min="11" max="16384" width="15" style="25"/>
  </cols>
  <sheetData>
    <row r="1" spans="1:11" x14ac:dyDescent="0.2">
      <c r="A1" s="24" t="s">
        <v>212</v>
      </c>
      <c r="B1" s="24"/>
      <c r="C1" s="24"/>
      <c r="D1" s="24"/>
      <c r="E1" s="24"/>
      <c r="F1" s="24"/>
      <c r="G1" s="24"/>
      <c r="H1" s="24"/>
      <c r="I1" s="24"/>
      <c r="J1" s="24"/>
    </row>
    <row r="2" spans="1:11" x14ac:dyDescent="0.2">
      <c r="A2" s="26" t="s">
        <v>35</v>
      </c>
      <c r="B2" s="26" t="s">
        <v>1</v>
      </c>
      <c r="C2" s="26" t="s">
        <v>36</v>
      </c>
      <c r="D2" s="26" t="s">
        <v>37</v>
      </c>
      <c r="E2" s="26" t="s">
        <v>38</v>
      </c>
      <c r="F2" s="26" t="s">
        <v>39</v>
      </c>
      <c r="G2" s="26" t="s">
        <v>40</v>
      </c>
      <c r="H2" s="27" t="s">
        <v>41</v>
      </c>
      <c r="I2" s="27" t="s">
        <v>42</v>
      </c>
      <c r="J2" s="27" t="s">
        <v>43</v>
      </c>
    </row>
    <row r="3" spans="1:11" x14ac:dyDescent="0.2">
      <c r="A3" s="31" t="s">
        <v>150</v>
      </c>
      <c r="B3" s="31" t="s">
        <v>213</v>
      </c>
      <c r="C3" s="31" t="s">
        <v>147</v>
      </c>
      <c r="D3" s="31" t="s">
        <v>148</v>
      </c>
      <c r="E3" s="31" t="s">
        <v>214</v>
      </c>
      <c r="F3" s="31" t="s">
        <v>49</v>
      </c>
      <c r="G3" s="31" t="s">
        <v>50</v>
      </c>
      <c r="H3" s="36">
        <v>757.91099999999994</v>
      </c>
      <c r="I3" s="37">
        <v>90.69</v>
      </c>
      <c r="J3" s="38">
        <v>68734.95</v>
      </c>
      <c r="K3" s="39" t="s">
        <v>215</v>
      </c>
    </row>
    <row r="4" spans="1:11" x14ac:dyDescent="0.2">
      <c r="A4" s="70">
        <v>45050</v>
      </c>
      <c r="B4" s="66">
        <v>29412</v>
      </c>
      <c r="C4" s="66" t="s">
        <v>147</v>
      </c>
      <c r="D4" s="66" t="s">
        <v>148</v>
      </c>
      <c r="E4" s="66" t="s">
        <v>149</v>
      </c>
      <c r="F4" s="66" t="s">
        <v>49</v>
      </c>
      <c r="G4" s="66" t="s">
        <v>50</v>
      </c>
      <c r="H4" s="67">
        <v>1341.6489999999999</v>
      </c>
      <c r="I4" s="68">
        <v>69.040000000000006</v>
      </c>
      <c r="J4" s="69">
        <f>-H4*I4</f>
        <v>-92627.446960000001</v>
      </c>
      <c r="K4" s="39"/>
    </row>
    <row r="5" spans="1:11" x14ac:dyDescent="0.2">
      <c r="A5" s="27" t="s">
        <v>154</v>
      </c>
      <c r="B5" s="27" t="s">
        <v>216</v>
      </c>
      <c r="C5" s="27" t="s">
        <v>147</v>
      </c>
      <c r="D5" s="27" t="s">
        <v>148</v>
      </c>
      <c r="E5" s="27" t="s">
        <v>214</v>
      </c>
      <c r="F5" s="27" t="s">
        <v>49</v>
      </c>
      <c r="G5" s="27" t="s">
        <v>50</v>
      </c>
      <c r="H5" s="40">
        <v>1341.6489999999999</v>
      </c>
      <c r="I5" s="41">
        <v>90.69</v>
      </c>
      <c r="J5" s="42">
        <v>121674.15</v>
      </c>
    </row>
    <row r="6" spans="1:11" x14ac:dyDescent="0.2">
      <c r="A6" s="27" t="s">
        <v>156</v>
      </c>
      <c r="B6" s="27" t="s">
        <v>217</v>
      </c>
      <c r="C6" s="27" t="s">
        <v>46</v>
      </c>
      <c r="D6" s="27" t="s">
        <v>47</v>
      </c>
      <c r="E6" s="27" t="s">
        <v>218</v>
      </c>
      <c r="F6" s="27" t="s">
        <v>49</v>
      </c>
      <c r="G6" s="27" t="s">
        <v>50</v>
      </c>
      <c r="H6" s="40">
        <v>462.17129999999997</v>
      </c>
      <c r="I6" s="41">
        <v>134.989982</v>
      </c>
      <c r="J6" s="42">
        <v>62388.5</v>
      </c>
    </row>
    <row r="7" spans="1:11" x14ac:dyDescent="0.2">
      <c r="A7" s="27" t="str">
        <f>A6</f>
        <v>16/05/2023</v>
      </c>
      <c r="B7" s="27" t="s">
        <v>219</v>
      </c>
      <c r="C7" s="27" t="s">
        <v>52</v>
      </c>
      <c r="D7" s="27" t="s">
        <v>53</v>
      </c>
      <c r="E7" s="27" t="s">
        <v>220</v>
      </c>
      <c r="F7" s="27" t="s">
        <v>49</v>
      </c>
      <c r="G7" s="27" t="s">
        <v>50</v>
      </c>
      <c r="H7" s="40">
        <v>125.17529999999999</v>
      </c>
      <c r="I7" s="41">
        <v>134.990014</v>
      </c>
      <c r="J7" s="42">
        <v>16897.419999999998</v>
      </c>
    </row>
    <row r="8" spans="1:11" x14ac:dyDescent="0.2">
      <c r="A8" s="27" t="str">
        <f t="shared" ref="A8:A30" si="0">A7</f>
        <v>16/05/2023</v>
      </c>
      <c r="B8" s="27" t="s">
        <v>221</v>
      </c>
      <c r="C8" s="27" t="s">
        <v>56</v>
      </c>
      <c r="D8" s="27" t="s">
        <v>57</v>
      </c>
      <c r="E8" s="27" t="s">
        <v>222</v>
      </c>
      <c r="F8" s="27" t="s">
        <v>49</v>
      </c>
      <c r="G8" s="27" t="s">
        <v>50</v>
      </c>
      <c r="H8" s="40">
        <v>255.16730000000001</v>
      </c>
      <c r="I8" s="41">
        <v>134.99000699999999</v>
      </c>
      <c r="J8" s="42">
        <v>34445.040000000001</v>
      </c>
    </row>
    <row r="9" spans="1:11" x14ac:dyDescent="0.2">
      <c r="A9" s="27" t="str">
        <f t="shared" si="0"/>
        <v>16/05/2023</v>
      </c>
      <c r="B9" s="27" t="s">
        <v>223</v>
      </c>
      <c r="C9" s="27" t="s">
        <v>60</v>
      </c>
      <c r="D9" s="27" t="s">
        <v>61</v>
      </c>
      <c r="E9" s="27" t="s">
        <v>224</v>
      </c>
      <c r="F9" s="27" t="s">
        <v>49</v>
      </c>
      <c r="G9" s="27" t="s">
        <v>50</v>
      </c>
      <c r="H9" s="40">
        <v>97.299300000000002</v>
      </c>
      <c r="I9" s="41">
        <v>134.99003099999999</v>
      </c>
      <c r="J9" s="42">
        <v>13134.44</v>
      </c>
    </row>
    <row r="10" spans="1:11" x14ac:dyDescent="0.2">
      <c r="A10" s="27" t="str">
        <f t="shared" si="0"/>
        <v>16/05/2023</v>
      </c>
      <c r="B10" s="27" t="s">
        <v>225</v>
      </c>
      <c r="C10" s="27" t="s">
        <v>226</v>
      </c>
      <c r="D10" s="27" t="s">
        <v>65</v>
      </c>
      <c r="E10" s="27" t="s">
        <v>227</v>
      </c>
      <c r="F10" s="27" t="s">
        <v>49</v>
      </c>
      <c r="G10" s="27" t="s">
        <v>50</v>
      </c>
      <c r="H10" s="40">
        <v>131.35400000000001</v>
      </c>
      <c r="I10" s="41">
        <v>134.990027</v>
      </c>
      <c r="J10" s="42">
        <v>17731.48</v>
      </c>
    </row>
    <row r="11" spans="1:11" x14ac:dyDescent="0.2">
      <c r="A11" s="27" t="str">
        <f t="shared" si="0"/>
        <v>16/05/2023</v>
      </c>
      <c r="B11" s="27" t="s">
        <v>228</v>
      </c>
      <c r="C11" s="27" t="s">
        <v>68</v>
      </c>
      <c r="D11" s="27" t="s">
        <v>69</v>
      </c>
      <c r="E11" s="27" t="s">
        <v>229</v>
      </c>
      <c r="F11" s="27" t="s">
        <v>49</v>
      </c>
      <c r="G11" s="27" t="s">
        <v>50</v>
      </c>
      <c r="H11" s="40">
        <v>350.76330000000002</v>
      </c>
      <c r="I11" s="41">
        <v>134.989993</v>
      </c>
      <c r="J11" s="42">
        <v>47349.54</v>
      </c>
    </row>
    <row r="12" spans="1:11" x14ac:dyDescent="0.2">
      <c r="A12" s="27" t="str">
        <f t="shared" si="0"/>
        <v>16/05/2023</v>
      </c>
      <c r="B12" s="27" t="s">
        <v>230</v>
      </c>
      <c r="C12" s="27" t="s">
        <v>72</v>
      </c>
      <c r="D12" s="27" t="s">
        <v>73</v>
      </c>
      <c r="E12" s="27" t="s">
        <v>231</v>
      </c>
      <c r="F12" s="27" t="s">
        <v>49</v>
      </c>
      <c r="G12" s="27" t="s">
        <v>50</v>
      </c>
      <c r="H12" s="40">
        <v>229.18799999999999</v>
      </c>
      <c r="I12" s="41">
        <v>134.98996500000001</v>
      </c>
      <c r="J12" s="42">
        <v>30938.080000000002</v>
      </c>
    </row>
    <row r="13" spans="1:11" x14ac:dyDescent="0.2">
      <c r="A13" s="27" t="str">
        <f t="shared" si="0"/>
        <v>16/05/2023</v>
      </c>
      <c r="B13" s="27" t="s">
        <v>232</v>
      </c>
      <c r="C13" s="27" t="s">
        <v>76</v>
      </c>
      <c r="D13" s="27" t="s">
        <v>77</v>
      </c>
      <c r="E13" s="27" t="s">
        <v>233</v>
      </c>
      <c r="F13" s="27" t="s">
        <v>49</v>
      </c>
      <c r="G13" s="27" t="s">
        <v>50</v>
      </c>
      <c r="H13" s="40">
        <v>58.379300000000001</v>
      </c>
      <c r="I13" s="41">
        <v>134.98989399999999</v>
      </c>
      <c r="J13" s="42">
        <v>7880.62</v>
      </c>
    </row>
    <row r="14" spans="1:11" x14ac:dyDescent="0.2">
      <c r="A14" s="27" t="str">
        <f t="shared" si="0"/>
        <v>16/05/2023</v>
      </c>
      <c r="B14" s="27" t="s">
        <v>234</v>
      </c>
      <c r="C14" s="27" t="s">
        <v>235</v>
      </c>
      <c r="D14" s="27" t="s">
        <v>81</v>
      </c>
      <c r="E14" s="27" t="s">
        <v>236</v>
      </c>
      <c r="F14" s="27" t="s">
        <v>49</v>
      </c>
      <c r="G14" s="27" t="s">
        <v>50</v>
      </c>
      <c r="H14" s="40">
        <v>260.71269999999998</v>
      </c>
      <c r="I14" s="41">
        <v>134.98998900000001</v>
      </c>
      <c r="J14" s="42">
        <v>35193.599999999999</v>
      </c>
    </row>
    <row r="15" spans="1:11" x14ac:dyDescent="0.2">
      <c r="A15" s="27" t="str">
        <f t="shared" si="0"/>
        <v>16/05/2023</v>
      </c>
      <c r="B15" s="27" t="s">
        <v>237</v>
      </c>
      <c r="C15" s="27" t="s">
        <v>84</v>
      </c>
      <c r="D15" s="27" t="s">
        <v>85</v>
      </c>
      <c r="E15" s="27" t="s">
        <v>238</v>
      </c>
      <c r="F15" s="27" t="s">
        <v>49</v>
      </c>
      <c r="G15" s="27" t="s">
        <v>50</v>
      </c>
      <c r="H15" s="40">
        <v>637.30930000000001</v>
      </c>
      <c r="I15" s="41">
        <v>134.98998900000001</v>
      </c>
      <c r="J15" s="42">
        <v>86030.38</v>
      </c>
    </row>
    <row r="16" spans="1:11" x14ac:dyDescent="0.2">
      <c r="A16" s="27" t="str">
        <f t="shared" si="0"/>
        <v>16/05/2023</v>
      </c>
      <c r="B16" s="27" t="s">
        <v>239</v>
      </c>
      <c r="C16" s="27" t="s">
        <v>240</v>
      </c>
      <c r="D16" s="27" t="s">
        <v>89</v>
      </c>
      <c r="E16" s="27" t="s">
        <v>241</v>
      </c>
      <c r="F16" s="27" t="s">
        <v>49</v>
      </c>
      <c r="G16" s="27" t="s">
        <v>50</v>
      </c>
      <c r="H16" s="40">
        <v>155.67869999999999</v>
      </c>
      <c r="I16" s="41">
        <v>134.98997900000001</v>
      </c>
      <c r="J16" s="42">
        <v>21015.06</v>
      </c>
    </row>
    <row r="17" spans="1:10" x14ac:dyDescent="0.2">
      <c r="A17" s="27" t="str">
        <f t="shared" si="0"/>
        <v>16/05/2023</v>
      </c>
      <c r="B17" s="27" t="s">
        <v>242</v>
      </c>
      <c r="C17" s="27" t="s">
        <v>92</v>
      </c>
      <c r="D17" s="27" t="s">
        <v>93</v>
      </c>
      <c r="E17" s="27" t="s">
        <v>243</v>
      </c>
      <c r="F17" s="27" t="s">
        <v>49</v>
      </c>
      <c r="G17" s="27" t="s">
        <v>50</v>
      </c>
      <c r="H17" s="40">
        <v>608.12</v>
      </c>
      <c r="I17" s="41">
        <v>134.990002</v>
      </c>
      <c r="J17" s="42">
        <v>82090.12</v>
      </c>
    </row>
    <row r="18" spans="1:10" x14ac:dyDescent="0.2">
      <c r="A18" s="27" t="str">
        <f t="shared" si="0"/>
        <v>16/05/2023</v>
      </c>
      <c r="B18" s="27" t="s">
        <v>244</v>
      </c>
      <c r="C18" s="27" t="s">
        <v>96</v>
      </c>
      <c r="D18" s="27" t="s">
        <v>97</v>
      </c>
      <c r="E18" s="27" t="s">
        <v>245</v>
      </c>
      <c r="F18" s="27" t="s">
        <v>49</v>
      </c>
      <c r="G18" s="27" t="s">
        <v>50</v>
      </c>
      <c r="H18" s="40">
        <v>211.626</v>
      </c>
      <c r="I18" s="41">
        <v>134.99002999999999</v>
      </c>
      <c r="J18" s="42">
        <v>28567.4</v>
      </c>
    </row>
    <row r="19" spans="1:10" x14ac:dyDescent="0.2">
      <c r="A19" s="27" t="str">
        <f t="shared" si="0"/>
        <v>16/05/2023</v>
      </c>
      <c r="B19" s="27" t="s">
        <v>246</v>
      </c>
      <c r="C19" s="27" t="s">
        <v>100</v>
      </c>
      <c r="D19" s="27" t="s">
        <v>101</v>
      </c>
      <c r="E19" s="27" t="s">
        <v>247</v>
      </c>
      <c r="F19" s="27" t="s">
        <v>49</v>
      </c>
      <c r="G19" s="27" t="s">
        <v>50</v>
      </c>
      <c r="H19" s="40">
        <v>583.7953</v>
      </c>
      <c r="I19" s="41">
        <v>134.990014</v>
      </c>
      <c r="J19" s="42">
        <v>78806.539999999994</v>
      </c>
    </row>
    <row r="20" spans="1:10" x14ac:dyDescent="0.2">
      <c r="A20" s="27" t="str">
        <f t="shared" si="0"/>
        <v>16/05/2023</v>
      </c>
      <c r="B20" s="27" t="s">
        <v>248</v>
      </c>
      <c r="C20" s="27" t="s">
        <v>249</v>
      </c>
      <c r="D20" s="27" t="s">
        <v>105</v>
      </c>
      <c r="E20" s="27" t="s">
        <v>250</v>
      </c>
      <c r="F20" s="27" t="s">
        <v>49</v>
      </c>
      <c r="G20" s="27" t="s">
        <v>50</v>
      </c>
      <c r="H20" s="40">
        <v>131.35400000000001</v>
      </c>
      <c r="I20" s="41">
        <v>134.990027</v>
      </c>
      <c r="J20" s="42">
        <v>17731.48</v>
      </c>
    </row>
    <row r="21" spans="1:10" x14ac:dyDescent="0.2">
      <c r="A21" s="27" t="str">
        <f t="shared" si="0"/>
        <v>16/05/2023</v>
      </c>
      <c r="B21" s="27" t="s">
        <v>251</v>
      </c>
      <c r="C21" s="27" t="s">
        <v>108</v>
      </c>
      <c r="D21" s="27" t="s">
        <v>109</v>
      </c>
      <c r="E21" s="27" t="s">
        <v>252</v>
      </c>
      <c r="F21" s="27" t="s">
        <v>49</v>
      </c>
      <c r="G21" s="27" t="s">
        <v>50</v>
      </c>
      <c r="H21" s="40">
        <v>535.14599999999996</v>
      </c>
      <c r="I21" s="41">
        <v>134.990003</v>
      </c>
      <c r="J21" s="42">
        <v>72239.360000000001</v>
      </c>
    </row>
    <row r="22" spans="1:10" x14ac:dyDescent="0.2">
      <c r="A22" s="27" t="str">
        <f t="shared" si="0"/>
        <v>16/05/2023</v>
      </c>
      <c r="B22" s="27" t="s">
        <v>253</v>
      </c>
      <c r="C22" s="27" t="s">
        <v>254</v>
      </c>
      <c r="D22" s="27" t="s">
        <v>113</v>
      </c>
      <c r="E22" s="27" t="s">
        <v>255</v>
      </c>
      <c r="F22" s="27" t="s">
        <v>49</v>
      </c>
      <c r="G22" s="27" t="s">
        <v>50</v>
      </c>
      <c r="H22" s="40">
        <v>51.811999999999998</v>
      </c>
      <c r="I22" s="41">
        <v>134.98996399999999</v>
      </c>
      <c r="J22" s="42">
        <v>6994.1</v>
      </c>
    </row>
    <row r="23" spans="1:10" x14ac:dyDescent="0.2">
      <c r="A23" s="27" t="str">
        <f t="shared" si="0"/>
        <v>16/05/2023</v>
      </c>
      <c r="B23" s="27" t="s">
        <v>256</v>
      </c>
      <c r="C23" s="27" t="s">
        <v>116</v>
      </c>
      <c r="D23" s="27" t="s">
        <v>117</v>
      </c>
      <c r="E23" s="27" t="s">
        <v>257</v>
      </c>
      <c r="F23" s="27" t="s">
        <v>49</v>
      </c>
      <c r="G23" s="27" t="s">
        <v>50</v>
      </c>
      <c r="H23" s="40">
        <v>147.69999999999999</v>
      </c>
      <c r="I23" s="41">
        <v>134.98998</v>
      </c>
      <c r="J23" s="42">
        <v>19938.02</v>
      </c>
    </row>
    <row r="24" spans="1:10" x14ac:dyDescent="0.2">
      <c r="A24" s="27" t="str">
        <f t="shared" si="0"/>
        <v>16/05/2023</v>
      </c>
      <c r="B24" s="27" t="s">
        <v>258</v>
      </c>
      <c r="C24" s="27" t="s">
        <v>120</v>
      </c>
      <c r="D24" s="27" t="s">
        <v>121</v>
      </c>
      <c r="E24" s="27" t="s">
        <v>259</v>
      </c>
      <c r="F24" s="27" t="s">
        <v>49</v>
      </c>
      <c r="G24" s="27" t="s">
        <v>50</v>
      </c>
      <c r="H24" s="40">
        <v>455.36</v>
      </c>
      <c r="I24" s="41">
        <v>134.98998599999999</v>
      </c>
      <c r="J24" s="42">
        <v>61469.04</v>
      </c>
    </row>
    <row r="25" spans="1:10" x14ac:dyDescent="0.2">
      <c r="A25" s="27" t="str">
        <f t="shared" si="0"/>
        <v>16/05/2023</v>
      </c>
      <c r="B25" s="27" t="s">
        <v>260</v>
      </c>
      <c r="C25" s="27" t="s">
        <v>124</v>
      </c>
      <c r="D25" s="27" t="s">
        <v>125</v>
      </c>
      <c r="E25" s="27" t="s">
        <v>261</v>
      </c>
      <c r="F25" s="27" t="s">
        <v>49</v>
      </c>
      <c r="G25" s="27" t="s">
        <v>50</v>
      </c>
      <c r="H25" s="40">
        <v>113.3047</v>
      </c>
      <c r="I25" s="41">
        <v>134.990027</v>
      </c>
      <c r="J25" s="42">
        <v>15295</v>
      </c>
    </row>
    <row r="26" spans="1:10" x14ac:dyDescent="0.2">
      <c r="A26" s="27" t="str">
        <f t="shared" si="0"/>
        <v>16/05/2023</v>
      </c>
      <c r="B26" s="27" t="s">
        <v>262</v>
      </c>
      <c r="C26" s="27" t="s">
        <v>263</v>
      </c>
      <c r="D26" s="27" t="s">
        <v>129</v>
      </c>
      <c r="E26" s="27" t="s">
        <v>264</v>
      </c>
      <c r="F26" s="27" t="s">
        <v>49</v>
      </c>
      <c r="G26" s="27" t="s">
        <v>50</v>
      </c>
      <c r="H26" s="40">
        <v>330.81729999999999</v>
      </c>
      <c r="I26" s="41">
        <v>134.990025</v>
      </c>
      <c r="J26" s="42">
        <v>44657.04</v>
      </c>
    </row>
    <row r="27" spans="1:10" x14ac:dyDescent="0.2">
      <c r="A27" s="27" t="str">
        <f t="shared" si="0"/>
        <v>16/05/2023</v>
      </c>
      <c r="B27" s="27" t="s">
        <v>265</v>
      </c>
      <c r="C27" s="27" t="s">
        <v>132</v>
      </c>
      <c r="D27" s="27" t="s">
        <v>133</v>
      </c>
      <c r="E27" s="27" t="s">
        <v>266</v>
      </c>
      <c r="F27" s="27" t="s">
        <v>49</v>
      </c>
      <c r="G27" s="27" t="s">
        <v>50</v>
      </c>
      <c r="H27" s="40">
        <v>80.369299999999996</v>
      </c>
      <c r="I27" s="41">
        <v>134.99004600000001</v>
      </c>
      <c r="J27" s="42">
        <v>10849.06</v>
      </c>
    </row>
    <row r="28" spans="1:10" x14ac:dyDescent="0.2">
      <c r="A28" s="27" t="str">
        <f t="shared" si="0"/>
        <v>16/05/2023</v>
      </c>
      <c r="B28" s="27" t="s">
        <v>267</v>
      </c>
      <c r="C28" s="27" t="s">
        <v>136</v>
      </c>
      <c r="D28" s="27" t="s">
        <v>137</v>
      </c>
      <c r="E28" s="27" t="s">
        <v>268</v>
      </c>
      <c r="F28" s="27" t="s">
        <v>49</v>
      </c>
      <c r="G28" s="27" t="s">
        <v>50</v>
      </c>
      <c r="H28" s="40">
        <v>71.222700000000003</v>
      </c>
      <c r="I28" s="41">
        <v>134.989891</v>
      </c>
      <c r="J28" s="42">
        <v>9614.34</v>
      </c>
    </row>
    <row r="29" spans="1:10" x14ac:dyDescent="0.2">
      <c r="A29" s="27" t="str">
        <f t="shared" si="0"/>
        <v>16/05/2023</v>
      </c>
      <c r="B29" s="27" t="s">
        <v>269</v>
      </c>
      <c r="C29" s="27" t="s">
        <v>140</v>
      </c>
      <c r="D29" s="27" t="s">
        <v>141</v>
      </c>
      <c r="E29" s="27" t="s">
        <v>270</v>
      </c>
      <c r="F29" s="27" t="s">
        <v>49</v>
      </c>
      <c r="G29" s="27" t="s">
        <v>50</v>
      </c>
      <c r="H29" s="40">
        <v>325.46600000000001</v>
      </c>
      <c r="I29" s="41">
        <v>134.990014</v>
      </c>
      <c r="J29" s="42">
        <v>43934.66</v>
      </c>
    </row>
    <row r="30" spans="1:10" x14ac:dyDescent="0.2">
      <c r="A30" s="27" t="str">
        <f t="shared" si="0"/>
        <v>16/05/2023</v>
      </c>
      <c r="B30" s="27" t="s">
        <v>271</v>
      </c>
      <c r="C30" s="27" t="s">
        <v>144</v>
      </c>
      <c r="D30" s="27" t="s">
        <v>145</v>
      </c>
      <c r="E30" s="27" t="s">
        <v>272</v>
      </c>
      <c r="F30" s="27" t="s">
        <v>49</v>
      </c>
      <c r="G30" s="27" t="s">
        <v>50</v>
      </c>
      <c r="H30" s="40">
        <v>262.70800000000003</v>
      </c>
      <c r="I30" s="41">
        <v>134.990027</v>
      </c>
      <c r="J30" s="42">
        <v>35462.959999999999</v>
      </c>
    </row>
    <row r="31" spans="1:10" x14ac:dyDescent="0.2">
      <c r="A31" s="27" t="s">
        <v>207</v>
      </c>
      <c r="B31" s="27" t="s">
        <v>208</v>
      </c>
      <c r="C31" s="27" t="s">
        <v>208</v>
      </c>
      <c r="D31" s="27" t="s">
        <v>208</v>
      </c>
      <c r="E31" s="27" t="s">
        <v>208</v>
      </c>
      <c r="F31" s="27" t="s">
        <v>208</v>
      </c>
      <c r="G31" s="27" t="s">
        <v>208</v>
      </c>
      <c r="H31" s="40">
        <f>SUM(H3:H30)</f>
        <v>10113.208800000004</v>
      </c>
      <c r="I31" s="43"/>
      <c r="J31" s="43"/>
    </row>
    <row r="33" spans="2:11" x14ac:dyDescent="0.2">
      <c r="G33" s="48"/>
      <c r="H33" s="49"/>
      <c r="I33" s="50" t="s">
        <v>209</v>
      </c>
      <c r="J33" s="51">
        <f>SUM(J3:J30)</f>
        <v>998434.93304000015</v>
      </c>
      <c r="K33" s="53" t="s">
        <v>210</v>
      </c>
    </row>
    <row r="34" spans="2:11" x14ac:dyDescent="0.2">
      <c r="G34" s="48"/>
      <c r="H34" s="49"/>
      <c r="I34" s="50" t="s">
        <v>211</v>
      </c>
      <c r="J34" s="52">
        <f>SUM(J3:J30)-J3</f>
        <v>929699.9830400002</v>
      </c>
      <c r="K34" s="52">
        <f>J34-J33</f>
        <v>-68734.949999999953</v>
      </c>
    </row>
    <row r="39" spans="2:11" x14ac:dyDescent="0.2">
      <c r="B39" s="25" t="s">
        <v>273</v>
      </c>
    </row>
  </sheetData>
  <sheetProtection select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d618607-4767-4b4f-8e43-6eedf2d4d2c7" xsi:nil="true"/>
    <lcf76f155ced4ddcb4097134ff3c332f xmlns="3ffc383b-a26b-4952-b39a-dea639c7347f">
      <Terms xmlns="http://schemas.microsoft.com/office/infopath/2007/PartnerControls"/>
    </lcf76f155ced4ddcb4097134ff3c332f>
    <PLC xmlns="3ffc383b-a26b-4952-b39a-dea639c7347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A671FDE4107246B7D84C4653F00C6C" ma:contentTypeVersion="14" ma:contentTypeDescription="Create a new document." ma:contentTypeScope="" ma:versionID="87a868809bfbf35a269fbc71a9259760">
  <xsd:schema xmlns:xsd="http://www.w3.org/2001/XMLSchema" xmlns:xs="http://www.w3.org/2001/XMLSchema" xmlns:p="http://schemas.microsoft.com/office/2006/metadata/properties" xmlns:ns2="3ffc383b-a26b-4952-b39a-dea639c7347f" xmlns:ns3="0d618607-4767-4b4f-8e43-6eedf2d4d2c7" targetNamespace="http://schemas.microsoft.com/office/2006/metadata/properties" ma:root="true" ma:fieldsID="c8ed9a9c8fb497b34e16683148e8ca33" ns2:_="" ns3:_="">
    <xsd:import namespace="3ffc383b-a26b-4952-b39a-dea639c7347f"/>
    <xsd:import namespace="0d618607-4767-4b4f-8e43-6eedf2d4d2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PLC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fc383b-a26b-4952-b39a-dea639c734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2f38bc04-ad40-44d0-9418-d56e5161b4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PLC" ma:index="21" nillable="true" ma:displayName="PLC" ma:description="Tem que transferir para o PLC?" ma:format="Dropdown" ma:internalName="PLC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618607-4767-4b4f-8e43-6eedf2d4d2c7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1351927-6ec1-4b7b-9879-faba2710351a}" ma:internalName="TaxCatchAll" ma:showField="CatchAllData" ma:web="0d618607-4767-4b4f-8e43-6eedf2d4d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F8B377-14E0-415F-B995-8934E0D3D7B4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0d618607-4767-4b4f-8e43-6eedf2d4d2c7"/>
    <ds:schemaRef ds:uri="3ffc383b-a26b-4952-b39a-dea639c7347f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8396BE8-DE58-45E5-92B7-DE0AD4F900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fc383b-a26b-4952-b39a-dea639c7347f"/>
    <ds:schemaRef ds:uri="0d618607-4767-4b4f-8e43-6eedf2d4d2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848AA2-2D8C-4E11-A2D3-E770B902E1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Cálculo de Ajuste</vt:lpstr>
      <vt:lpstr>Faturamento OB1</vt:lpstr>
      <vt:lpstr>Faturamento OB2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Maria Ferrari Careto</dc:creator>
  <cp:keywords/>
  <dc:description/>
  <cp:lastModifiedBy>Hiuri Doria Lima</cp:lastModifiedBy>
  <cp:revision/>
  <dcterms:created xsi:type="dcterms:W3CDTF">2023-06-26T09:14:22Z</dcterms:created>
  <dcterms:modified xsi:type="dcterms:W3CDTF">2023-07-03T13:34:39Z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0x01010027A671FDE4107246B7D84C4653F00C6C</vt:lpwstr>
  </property>
  <property fmtid="{D5CDD505-2E9C-101B-9397-08002B2CF9AE}" pid="3" name="MediaServiceImageTags">
    <vt:lpwstr/>
  </property>
</Properties>
</file>